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gurayuki/OldDesk/法政/コバゼミ/eye/eye_git/eye-pass/items/"/>
    </mc:Choice>
  </mc:AlternateContent>
  <xr:revisionPtr revIDLastSave="0" documentId="13_ncr:40009_{ECFAEF04-8A7C-B248-9F42-0A815854D048}" xr6:coauthVersionLast="46" xr6:coauthVersionMax="46" xr10:uidLastSave="{00000000-0000-0000-0000-000000000000}"/>
  <bookViews>
    <workbookView xWindow="1840" yWindow="2460" windowWidth="26700" windowHeight="15040"/>
  </bookViews>
  <sheets>
    <sheet name="all1-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L30" i="1" l="1"/>
  <c r="BK30" i="1"/>
  <c r="BJ30" i="1"/>
  <c r="BH54" i="1"/>
  <c r="BH71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E57" i="1"/>
  <c r="BF57" i="1"/>
  <c r="BE58" i="1"/>
  <c r="BF58" i="1"/>
  <c r="BE60" i="1"/>
  <c r="BF60" i="1"/>
  <c r="BE61" i="1"/>
  <c r="BF61" i="1"/>
  <c r="BE63" i="1"/>
  <c r="BF63" i="1"/>
  <c r="BE64" i="1"/>
  <c r="BF64" i="1"/>
  <c r="BE66" i="1"/>
  <c r="BF66" i="1"/>
  <c r="BE67" i="1"/>
  <c r="BF67" i="1"/>
  <c r="BE69" i="1"/>
  <c r="BF69" i="1"/>
  <c r="BE70" i="1"/>
  <c r="BF70" i="1"/>
  <c r="BF55" i="1"/>
  <c r="BE55" i="1"/>
  <c r="BF54" i="1"/>
  <c r="BE54" i="1"/>
  <c r="AZ70" i="1"/>
  <c r="AZ67" i="1"/>
  <c r="AZ64" i="1"/>
  <c r="AZ61" i="1"/>
  <c r="AZ58" i="1"/>
  <c r="AZ55" i="1"/>
  <c r="AX58" i="1"/>
  <c r="AZ59" i="1" s="1"/>
  <c r="AX55" i="1"/>
  <c r="AZ54" i="1" s="1"/>
  <c r="AW55" i="1"/>
  <c r="AR71" i="1"/>
  <c r="AR70" i="1"/>
  <c r="AX70" i="1" s="1"/>
  <c r="AR68" i="1"/>
  <c r="AR67" i="1"/>
  <c r="AX67" i="1" s="1"/>
  <c r="AR65" i="1"/>
  <c r="AR64" i="1"/>
  <c r="AS65" i="1" s="1"/>
  <c r="AR62" i="1"/>
  <c r="AR61" i="1"/>
  <c r="AX61" i="1" s="1"/>
  <c r="AR59" i="1"/>
  <c r="AR58" i="1"/>
  <c r="AR56" i="1"/>
  <c r="AR55" i="1"/>
  <c r="AS56" i="1" s="1"/>
  <c r="AS71" i="1"/>
  <c r="AS59" i="1"/>
  <c r="AQ44" i="1"/>
  <c r="AQ43" i="1"/>
  <c r="AW70" i="1" s="1"/>
  <c r="AQ41" i="1"/>
  <c r="AQ40" i="1"/>
  <c r="AW67" i="1" s="1"/>
  <c r="AQ38" i="1"/>
  <c r="AQ37" i="1"/>
  <c r="AW64" i="1" s="1"/>
  <c r="AQ35" i="1"/>
  <c r="AQ34" i="1"/>
  <c r="AW61" i="1" s="1"/>
  <c r="AQ32" i="1"/>
  <c r="AQ31" i="1"/>
  <c r="AW58" i="1" s="1"/>
  <c r="AZ57" i="1" s="1"/>
  <c r="AQ29" i="1"/>
  <c r="AQ28" i="1"/>
  <c r="Z85" i="1"/>
  <c r="Y85" i="1"/>
  <c r="Y86" i="1" s="1"/>
  <c r="X85" i="1"/>
  <c r="W85" i="1"/>
  <c r="W86" i="1" s="1"/>
  <c r="V85" i="1"/>
  <c r="U85" i="1"/>
  <c r="T85" i="1"/>
  <c r="S85" i="1"/>
  <c r="R85" i="1"/>
  <c r="Q85" i="1"/>
  <c r="Q86" i="1" s="1"/>
  <c r="P85" i="1"/>
  <c r="O85" i="1"/>
  <c r="O86" i="1" s="1"/>
  <c r="Z70" i="1"/>
  <c r="Y70" i="1"/>
  <c r="X70" i="1"/>
  <c r="W70" i="1"/>
  <c r="V70" i="1"/>
  <c r="U70" i="1"/>
  <c r="T70" i="1"/>
  <c r="S70" i="1"/>
  <c r="R70" i="1"/>
  <c r="Q70" i="1"/>
  <c r="P70" i="1"/>
  <c r="O71" i="1" s="1"/>
  <c r="O70" i="1"/>
  <c r="Z54" i="1"/>
  <c r="Y54" i="1"/>
  <c r="Y55" i="1" s="1"/>
  <c r="X54" i="1"/>
  <c r="W54" i="1"/>
  <c r="V54" i="1"/>
  <c r="U54" i="1"/>
  <c r="T54" i="1"/>
  <c r="S54" i="1"/>
  <c r="R54" i="1"/>
  <c r="Q54" i="1"/>
  <c r="Q55" i="1" s="1"/>
  <c r="P54" i="1"/>
  <c r="O54" i="1"/>
  <c r="Z40" i="1"/>
  <c r="Y40" i="1"/>
  <c r="X40" i="1"/>
  <c r="W40" i="1"/>
  <c r="V40" i="1"/>
  <c r="U40" i="1"/>
  <c r="V41" i="1" s="1"/>
  <c r="T40" i="1"/>
  <c r="S40" i="1"/>
  <c r="R40" i="1"/>
  <c r="Q40" i="1"/>
  <c r="P40" i="1"/>
  <c r="O40" i="1"/>
  <c r="Z26" i="1"/>
  <c r="Y26" i="1"/>
  <c r="Y27" i="1" s="1"/>
  <c r="X26" i="1"/>
  <c r="W26" i="1"/>
  <c r="V26" i="1"/>
  <c r="U26" i="1"/>
  <c r="T26" i="1"/>
  <c r="S26" i="1"/>
  <c r="R26" i="1"/>
  <c r="Q26" i="1"/>
  <c r="Q27" i="1" s="1"/>
  <c r="P26" i="1"/>
  <c r="O26" i="1"/>
  <c r="P12" i="1"/>
  <c r="Q12" i="1"/>
  <c r="R12" i="1"/>
  <c r="S12" i="1"/>
  <c r="T12" i="1"/>
  <c r="U12" i="1"/>
  <c r="V12" i="1"/>
  <c r="W12" i="1"/>
  <c r="X12" i="1"/>
  <c r="Y12" i="1"/>
  <c r="Z12" i="1"/>
  <c r="O12" i="1"/>
  <c r="AZ66" i="1" l="1"/>
  <c r="AZ68" i="1"/>
  <c r="AZ71" i="1"/>
  <c r="AZ69" i="1"/>
  <c r="AZ62" i="1"/>
  <c r="AZ60" i="1"/>
  <c r="AX64" i="1"/>
  <c r="P86" i="1"/>
  <c r="P87" i="1" s="1"/>
  <c r="W27" i="1"/>
  <c r="V27" i="1"/>
  <c r="V55" i="1"/>
  <c r="Q71" i="1"/>
  <c r="Q72" i="1" s="1"/>
  <c r="AZ56" i="1"/>
  <c r="Y71" i="1"/>
  <c r="Y72" i="1" s="1"/>
  <c r="T71" i="1"/>
  <c r="T72" i="1" s="1"/>
  <c r="U13" i="1"/>
  <c r="U14" i="1" s="1"/>
  <c r="W13" i="1"/>
  <c r="V13" i="1"/>
  <c r="V14" i="1" s="1"/>
  <c r="P41" i="1"/>
  <c r="W71" i="1"/>
  <c r="W72" i="1" s="1"/>
  <c r="O27" i="1"/>
  <c r="O28" i="1" s="1"/>
  <c r="T86" i="1"/>
  <c r="T87" i="1" s="1"/>
  <c r="AR32" i="1"/>
  <c r="AS62" i="1"/>
  <c r="AR38" i="1"/>
  <c r="R41" i="1"/>
  <c r="R42" i="1" s="1"/>
  <c r="T55" i="1"/>
  <c r="V71" i="1"/>
  <c r="V72" i="1" s="1"/>
  <c r="AR29" i="1"/>
  <c r="AR41" i="1"/>
  <c r="AS68" i="1"/>
  <c r="Y13" i="1"/>
  <c r="Y14" i="1" s="1"/>
  <c r="Q13" i="1"/>
  <c r="Q14" i="1" s="1"/>
  <c r="T27" i="1"/>
  <c r="T28" i="1" s="1"/>
  <c r="T41" i="1"/>
  <c r="T42" i="1" s="1"/>
  <c r="O41" i="1"/>
  <c r="O42" i="1" s="1"/>
  <c r="AR44" i="1"/>
  <c r="X13" i="1"/>
  <c r="X14" i="1" s="1"/>
  <c r="W14" i="1"/>
  <c r="W28" i="1"/>
  <c r="X27" i="1"/>
  <c r="X28" i="1" s="1"/>
  <c r="Q41" i="1"/>
  <c r="Q42" i="1" s="1"/>
  <c r="Q56" i="1"/>
  <c r="Y56" i="1"/>
  <c r="O72" i="1"/>
  <c r="X71" i="1"/>
  <c r="X72" i="1" s="1"/>
  <c r="V86" i="1"/>
  <c r="V87" i="1" s="1"/>
  <c r="AR35" i="1"/>
  <c r="S13" i="1"/>
  <c r="S14" i="1" s="1"/>
  <c r="X55" i="1"/>
  <c r="X56" i="1" s="1"/>
  <c r="T13" i="1"/>
  <c r="T14" i="1" s="1"/>
  <c r="Z13" i="1"/>
  <c r="Z14" i="1" s="1"/>
  <c r="R13" i="1"/>
  <c r="R14" i="1" s="1"/>
  <c r="Q28" i="1"/>
  <c r="Y28" i="1"/>
  <c r="W41" i="1"/>
  <c r="W42" i="1" s="1"/>
  <c r="O55" i="1"/>
  <c r="O56" i="1" s="1"/>
  <c r="O87" i="1"/>
  <c r="W87" i="1"/>
  <c r="X86" i="1"/>
  <c r="X87" i="1" s="1"/>
  <c r="P13" i="1"/>
  <c r="P14" i="1" s="1"/>
  <c r="O13" i="1"/>
  <c r="O14" i="1" s="1"/>
  <c r="P42" i="1"/>
  <c r="X41" i="1"/>
  <c r="X42" i="1" s="1"/>
  <c r="P55" i="1"/>
  <c r="P56" i="1" s="1"/>
  <c r="Y87" i="1"/>
  <c r="Y41" i="1"/>
  <c r="Y42" i="1" s="1"/>
  <c r="Q87" i="1"/>
  <c r="P27" i="1"/>
  <c r="P28" i="1" s="1"/>
  <c r="Z41" i="1"/>
  <c r="Z42" i="1" s="1"/>
  <c r="W55" i="1"/>
  <c r="W56" i="1" s="1"/>
  <c r="P71" i="1"/>
  <c r="P72" i="1" s="1"/>
  <c r="R86" i="1"/>
  <c r="R87" i="1" s="1"/>
  <c r="Z86" i="1"/>
  <c r="Z87" i="1" s="1"/>
  <c r="S86" i="1"/>
  <c r="S87" i="1" s="1"/>
  <c r="U86" i="1"/>
  <c r="U87" i="1" s="1"/>
  <c r="R71" i="1"/>
  <c r="R72" i="1" s="1"/>
  <c r="Z71" i="1"/>
  <c r="Z72" i="1" s="1"/>
  <c r="S71" i="1"/>
  <c r="S72" i="1" s="1"/>
  <c r="U71" i="1"/>
  <c r="U72" i="1" s="1"/>
  <c r="V56" i="1"/>
  <c r="T56" i="1"/>
  <c r="R55" i="1"/>
  <c r="R56" i="1" s="1"/>
  <c r="Z55" i="1"/>
  <c r="Z56" i="1" s="1"/>
  <c r="S55" i="1"/>
  <c r="S56" i="1" s="1"/>
  <c r="U55" i="1"/>
  <c r="U56" i="1" s="1"/>
  <c r="V42" i="1"/>
  <c r="S41" i="1"/>
  <c r="S42" i="1" s="1"/>
  <c r="U41" i="1"/>
  <c r="U42" i="1" s="1"/>
  <c r="V28" i="1"/>
  <c r="R27" i="1"/>
  <c r="R28" i="1" s="1"/>
  <c r="Z27" i="1"/>
  <c r="Z28" i="1" s="1"/>
  <c r="S27" i="1"/>
  <c r="S28" i="1" s="1"/>
  <c r="U27" i="1"/>
  <c r="U28" i="1" s="1"/>
  <c r="AZ63" i="1" l="1"/>
  <c r="AZ65" i="1"/>
</calcChain>
</file>

<file path=xl/sharedStrings.xml><?xml version="1.0" encoding="utf-8"?>
<sst xmlns="http://schemas.openxmlformats.org/spreadsheetml/2006/main" count="83" uniqueCount="29">
  <si>
    <t>正解</t>
    <rPh sb="0" eb="2">
      <t>セイカイ</t>
    </rPh>
    <phoneticPr fontId="18"/>
  </si>
  <si>
    <t>不正解</t>
    <rPh sb="0" eb="3">
      <t>フセイ</t>
    </rPh>
    <phoneticPr fontId="18"/>
  </si>
  <si>
    <t>正解データ</t>
    <rPh sb="0" eb="2">
      <t>セイカイ</t>
    </rPh>
    <phoneticPr fontId="18"/>
  </si>
  <si>
    <t>eight</t>
  </si>
  <si>
    <t>eight</t>
    <phoneticPr fontId="18"/>
  </si>
  <si>
    <t>circle</t>
  </si>
  <si>
    <t>circle</t>
    <phoneticPr fontId="18"/>
  </si>
  <si>
    <t>square</t>
  </si>
  <si>
    <t>square</t>
    <phoneticPr fontId="18"/>
  </si>
  <si>
    <t>small_eight</t>
  </si>
  <si>
    <t>small_eight</t>
    <phoneticPr fontId="18"/>
  </si>
  <si>
    <t>small_circle</t>
  </si>
  <si>
    <t>small_circle</t>
    <phoneticPr fontId="18"/>
  </si>
  <si>
    <t>small_square</t>
  </si>
  <si>
    <t>small_square</t>
    <phoneticPr fontId="18"/>
  </si>
  <si>
    <t>認証結果</t>
    <rPh sb="0" eb="4">
      <t>ニンショウ</t>
    </rPh>
    <phoneticPr fontId="18"/>
  </si>
  <si>
    <t>データ
種類</t>
    <rPh sb="3" eb="5">
      <t>シュルイ</t>
    </rPh>
    <phoneticPr fontId="18"/>
  </si>
  <si>
    <t>正解データ:9個</t>
    <rPh sb="0" eb="2">
      <t>セイカイ</t>
    </rPh>
    <phoneticPr fontId="18"/>
  </si>
  <si>
    <t>不正解データ:500個</t>
    <rPh sb="0" eb="3">
      <t>フセイ</t>
    </rPh>
    <rPh sb="10" eb="11">
      <t xml:space="preserve">コ </t>
    </rPh>
    <phoneticPr fontId="18"/>
  </si>
  <si>
    <t>tp</t>
    <phoneticPr fontId="18"/>
  </si>
  <si>
    <t>fn</t>
    <phoneticPr fontId="18"/>
  </si>
  <si>
    <t>fp</t>
    <phoneticPr fontId="18"/>
  </si>
  <si>
    <t>tn</t>
    <phoneticPr fontId="18"/>
  </si>
  <si>
    <t>Sensitivity</t>
    <phoneticPr fontId="18"/>
  </si>
  <si>
    <t>Specificity</t>
    <phoneticPr fontId="18"/>
  </si>
  <si>
    <t>Accuracy</t>
    <phoneticPr fontId="18"/>
  </si>
  <si>
    <t>だめ</t>
    <phoneticPr fontId="18"/>
  </si>
  <si>
    <t>いい</t>
    <phoneticPr fontId="18"/>
  </si>
  <si>
    <t>average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</si>
</sst>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5" formatCode="0.000"/>
  </numFmts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85" fontId="0" fillId="0" borderId="0" xfId="0" applyNumberFormat="1">
      <alignment vertical="center"/>
    </xf>
    <xf numFmtId="0" fontId="0" fillId="0" borderId="11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>
      <alignment vertical="center"/>
    </xf>
    <xf numFmtId="185" fontId="0" fillId="0" borderId="0" xfId="0" applyNumberFormat="1" applyBorder="1">
      <alignment vertical="center"/>
    </xf>
    <xf numFmtId="185" fontId="0" fillId="0" borderId="14" xfId="0" applyNumberFormat="1" applyBorder="1">
      <alignment vertical="center"/>
    </xf>
    <xf numFmtId="0" fontId="0" fillId="0" borderId="15" xfId="0" applyBorder="1" applyAlignment="1">
      <alignment horizontal="center" vertical="center"/>
    </xf>
    <xf numFmtId="185" fontId="0" fillId="0" borderId="16" xfId="0" applyNumberFormat="1" applyBorder="1">
      <alignment vertical="center"/>
    </xf>
    <xf numFmtId="185" fontId="0" fillId="0" borderId="17" xfId="0" applyNumberFormat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13" xfId="0" applyBorder="1">
      <alignment vertical="center"/>
    </xf>
    <xf numFmtId="0" fontId="0" fillId="0" borderId="17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185" fontId="0" fillId="0" borderId="11" xfId="0" applyNumberFormat="1" applyBorder="1">
      <alignment vertical="center"/>
    </xf>
    <xf numFmtId="185" fontId="0" fillId="0" borderId="20" xfId="0" applyNumberFormat="1" applyBorder="1">
      <alignment vertical="center"/>
    </xf>
    <xf numFmtId="185" fontId="0" fillId="0" borderId="19" xfId="0" applyNumberFormat="1" applyBorder="1">
      <alignment vertical="center"/>
    </xf>
    <xf numFmtId="185" fontId="0" fillId="0" borderId="15" xfId="0" applyNumberFormat="1" applyBorder="1">
      <alignment vertical="center"/>
    </xf>
    <xf numFmtId="185" fontId="0" fillId="0" borderId="13" xfId="0" applyNumberFormat="1" applyBorder="1">
      <alignment vertical="center"/>
    </xf>
    <xf numFmtId="0" fontId="0" fillId="0" borderId="23" xfId="0" applyBorder="1">
      <alignment vertical="center"/>
    </xf>
    <xf numFmtId="0" fontId="0" fillId="0" borderId="22" xfId="0" applyBorder="1">
      <alignment vertical="center"/>
    </xf>
    <xf numFmtId="0" fontId="0" fillId="0" borderId="10" xfId="0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L87"/>
  <sheetViews>
    <sheetView tabSelected="1" topLeftCell="AE21" zoomScale="65" workbookViewId="0">
      <selection activeCell="BI23" sqref="BI23:BL30"/>
    </sheetView>
  </sheetViews>
  <sheetFormatPr baseColWidth="10" defaultRowHeight="20"/>
  <cols>
    <col min="45" max="45" width="7" bestFit="1" customWidth="1"/>
    <col min="46" max="46" width="9.42578125" customWidth="1"/>
    <col min="47" max="47" width="7.42578125" bestFit="1" customWidth="1"/>
    <col min="48" max="48" width="6.42578125" bestFit="1" customWidth="1"/>
    <col min="49" max="49" width="7.42578125" bestFit="1" customWidth="1"/>
    <col min="50" max="50" width="6.42578125" bestFit="1" customWidth="1"/>
    <col min="51" max="51" width="7.42578125" bestFit="1" customWidth="1"/>
    <col min="52" max="52" width="6.42578125" bestFit="1" customWidth="1"/>
    <col min="53" max="53" width="7.42578125" bestFit="1" customWidth="1"/>
    <col min="54" max="54" width="6.42578125" bestFit="1" customWidth="1"/>
    <col min="55" max="55" width="7.42578125" bestFit="1" customWidth="1"/>
    <col min="56" max="56" width="12.85546875" bestFit="1" customWidth="1"/>
    <col min="57" max="57" width="9.140625" bestFit="1" customWidth="1"/>
    <col min="58" max="59" width="10.42578125" bestFit="1" customWidth="1"/>
    <col min="61" max="61" width="12.85546875" bestFit="1" customWidth="1"/>
    <col min="62" max="62" width="9.42578125" bestFit="1" customWidth="1"/>
    <col min="63" max="64" width="10.42578125" bestFit="1" customWidth="1"/>
  </cols>
  <sheetData>
    <row r="1" spans="1:41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</row>
    <row r="2" spans="1:41">
      <c r="A2">
        <v>0</v>
      </c>
      <c r="B2">
        <v>4</v>
      </c>
      <c r="C2">
        <v>5</v>
      </c>
      <c r="D2">
        <v>2</v>
      </c>
      <c r="E2">
        <v>8</v>
      </c>
      <c r="F2">
        <v>4</v>
      </c>
      <c r="G2">
        <v>6</v>
      </c>
      <c r="H2">
        <v>0</v>
      </c>
      <c r="I2">
        <v>10</v>
      </c>
      <c r="J2">
        <v>0</v>
      </c>
      <c r="K2">
        <v>10</v>
      </c>
      <c r="L2">
        <v>0</v>
      </c>
      <c r="M2">
        <v>10</v>
      </c>
      <c r="O2">
        <v>4</v>
      </c>
      <c r="P2">
        <v>5</v>
      </c>
      <c r="Q2">
        <v>2</v>
      </c>
      <c r="R2">
        <v>8</v>
      </c>
      <c r="S2">
        <v>4</v>
      </c>
      <c r="T2">
        <v>6</v>
      </c>
      <c r="U2">
        <v>0</v>
      </c>
      <c r="V2">
        <v>10</v>
      </c>
      <c r="W2">
        <v>0</v>
      </c>
      <c r="X2">
        <v>10</v>
      </c>
      <c r="Y2">
        <v>0</v>
      </c>
      <c r="Z2">
        <v>10</v>
      </c>
    </row>
    <row r="3" spans="1:41">
      <c r="A3">
        <v>1</v>
      </c>
      <c r="B3">
        <v>0</v>
      </c>
      <c r="C3">
        <v>9</v>
      </c>
      <c r="D3">
        <v>0</v>
      </c>
      <c r="E3">
        <v>10</v>
      </c>
      <c r="F3">
        <v>0</v>
      </c>
      <c r="G3">
        <v>10</v>
      </c>
      <c r="H3">
        <v>0</v>
      </c>
      <c r="I3">
        <v>10</v>
      </c>
      <c r="J3">
        <v>0</v>
      </c>
      <c r="K3">
        <v>10</v>
      </c>
      <c r="L3">
        <v>0</v>
      </c>
      <c r="M3">
        <v>10</v>
      </c>
      <c r="O3">
        <v>0</v>
      </c>
      <c r="P3">
        <v>9</v>
      </c>
      <c r="Q3">
        <v>0</v>
      </c>
      <c r="R3">
        <v>10</v>
      </c>
      <c r="S3">
        <v>0</v>
      </c>
      <c r="T3">
        <v>10</v>
      </c>
      <c r="U3">
        <v>0</v>
      </c>
      <c r="V3">
        <v>10</v>
      </c>
      <c r="W3">
        <v>0</v>
      </c>
      <c r="X3">
        <v>10</v>
      </c>
      <c r="Y3">
        <v>0</v>
      </c>
      <c r="Z3">
        <v>10</v>
      </c>
    </row>
    <row r="4" spans="1:41">
      <c r="A4">
        <v>2</v>
      </c>
      <c r="B4">
        <v>1</v>
      </c>
      <c r="C4">
        <v>8</v>
      </c>
      <c r="D4">
        <v>0</v>
      </c>
      <c r="E4">
        <v>10</v>
      </c>
      <c r="F4">
        <v>1</v>
      </c>
      <c r="G4">
        <v>9</v>
      </c>
      <c r="H4">
        <v>0</v>
      </c>
      <c r="I4">
        <v>10</v>
      </c>
      <c r="J4">
        <v>0</v>
      </c>
      <c r="K4">
        <v>10</v>
      </c>
      <c r="L4">
        <v>0</v>
      </c>
      <c r="M4">
        <v>10</v>
      </c>
      <c r="O4">
        <v>1</v>
      </c>
      <c r="P4">
        <v>8</v>
      </c>
      <c r="Q4">
        <v>0</v>
      </c>
      <c r="R4">
        <v>10</v>
      </c>
      <c r="S4">
        <v>1</v>
      </c>
      <c r="T4">
        <v>9</v>
      </c>
      <c r="U4">
        <v>0</v>
      </c>
      <c r="V4">
        <v>10</v>
      </c>
      <c r="W4">
        <v>0</v>
      </c>
      <c r="X4">
        <v>10</v>
      </c>
      <c r="Y4">
        <v>0</v>
      </c>
      <c r="Z4">
        <v>10</v>
      </c>
      <c r="AD4">
        <v>8</v>
      </c>
      <c r="AE4">
        <v>82</v>
      </c>
      <c r="AF4">
        <v>2</v>
      </c>
      <c r="AG4">
        <v>98</v>
      </c>
      <c r="AH4">
        <v>6</v>
      </c>
      <c r="AI4">
        <v>94</v>
      </c>
      <c r="AJ4">
        <v>0</v>
      </c>
      <c r="AK4">
        <v>100</v>
      </c>
      <c r="AL4">
        <v>0</v>
      </c>
      <c r="AM4">
        <v>100</v>
      </c>
      <c r="AN4">
        <v>0</v>
      </c>
      <c r="AO4">
        <v>100</v>
      </c>
    </row>
    <row r="5" spans="1:41">
      <c r="A5">
        <v>3</v>
      </c>
      <c r="B5">
        <v>0</v>
      </c>
      <c r="C5">
        <v>9</v>
      </c>
      <c r="D5">
        <v>0</v>
      </c>
      <c r="E5">
        <v>10</v>
      </c>
      <c r="F5">
        <v>0</v>
      </c>
      <c r="G5">
        <v>10</v>
      </c>
      <c r="H5">
        <v>0</v>
      </c>
      <c r="I5">
        <v>10</v>
      </c>
      <c r="J5">
        <v>0</v>
      </c>
      <c r="K5">
        <v>10</v>
      </c>
      <c r="L5">
        <v>0</v>
      </c>
      <c r="M5">
        <v>10</v>
      </c>
      <c r="O5">
        <v>0</v>
      </c>
      <c r="P5">
        <v>9</v>
      </c>
      <c r="Q5">
        <v>0</v>
      </c>
      <c r="R5">
        <v>10</v>
      </c>
      <c r="S5">
        <v>0</v>
      </c>
      <c r="T5">
        <v>10</v>
      </c>
      <c r="U5">
        <v>0</v>
      </c>
      <c r="V5">
        <v>10</v>
      </c>
      <c r="W5">
        <v>0</v>
      </c>
      <c r="X5">
        <v>10</v>
      </c>
      <c r="Y5">
        <v>0</v>
      </c>
      <c r="Z5">
        <v>10</v>
      </c>
      <c r="AD5">
        <v>90</v>
      </c>
      <c r="AE5">
        <v>90</v>
      </c>
      <c r="AF5">
        <v>100</v>
      </c>
      <c r="AG5">
        <v>100</v>
      </c>
      <c r="AH5">
        <v>100</v>
      </c>
      <c r="AI5">
        <v>100</v>
      </c>
      <c r="AJ5">
        <v>100</v>
      </c>
      <c r="AK5">
        <v>100</v>
      </c>
      <c r="AL5">
        <v>100</v>
      </c>
      <c r="AM5">
        <v>100</v>
      </c>
      <c r="AN5">
        <v>100</v>
      </c>
      <c r="AO5">
        <v>100</v>
      </c>
    </row>
    <row r="6" spans="1:41">
      <c r="A6">
        <v>4</v>
      </c>
      <c r="B6">
        <v>1</v>
      </c>
      <c r="C6">
        <v>8</v>
      </c>
      <c r="D6">
        <v>0</v>
      </c>
      <c r="E6">
        <v>10</v>
      </c>
      <c r="F6">
        <v>0</v>
      </c>
      <c r="G6">
        <v>10</v>
      </c>
      <c r="H6">
        <v>0</v>
      </c>
      <c r="I6">
        <v>10</v>
      </c>
      <c r="J6">
        <v>0</v>
      </c>
      <c r="K6">
        <v>10</v>
      </c>
      <c r="L6">
        <v>0</v>
      </c>
      <c r="M6">
        <v>10</v>
      </c>
      <c r="O6">
        <v>1</v>
      </c>
      <c r="P6">
        <v>8</v>
      </c>
      <c r="Q6">
        <v>0</v>
      </c>
      <c r="R6">
        <v>10</v>
      </c>
      <c r="S6">
        <v>0</v>
      </c>
      <c r="T6">
        <v>10</v>
      </c>
      <c r="U6">
        <v>0</v>
      </c>
      <c r="V6">
        <v>10</v>
      </c>
      <c r="W6">
        <v>0</v>
      </c>
      <c r="X6">
        <v>10</v>
      </c>
      <c r="Y6">
        <v>0</v>
      </c>
      <c r="Z6">
        <v>10</v>
      </c>
      <c r="AD6">
        <v>8.8888888888888892E-2</v>
      </c>
      <c r="AE6">
        <v>0.91111111111111109</v>
      </c>
      <c r="AF6">
        <v>0.02</v>
      </c>
      <c r="AG6">
        <v>0.98</v>
      </c>
      <c r="AH6">
        <v>0.06</v>
      </c>
      <c r="AI6">
        <v>0.94</v>
      </c>
      <c r="AJ6">
        <v>0</v>
      </c>
      <c r="AK6">
        <v>1</v>
      </c>
      <c r="AL6">
        <v>0</v>
      </c>
      <c r="AM6">
        <v>1</v>
      </c>
      <c r="AN6">
        <v>0</v>
      </c>
      <c r="AO6">
        <v>1</v>
      </c>
    </row>
    <row r="7" spans="1:41">
      <c r="A7">
        <v>5</v>
      </c>
      <c r="B7">
        <v>0</v>
      </c>
      <c r="C7">
        <v>9</v>
      </c>
      <c r="D7">
        <v>0</v>
      </c>
      <c r="E7">
        <v>10</v>
      </c>
      <c r="F7">
        <v>0</v>
      </c>
      <c r="G7">
        <v>10</v>
      </c>
      <c r="H7">
        <v>0</v>
      </c>
      <c r="I7">
        <v>10</v>
      </c>
      <c r="J7">
        <v>0</v>
      </c>
      <c r="K7">
        <v>10</v>
      </c>
      <c r="L7">
        <v>0</v>
      </c>
      <c r="M7">
        <v>10</v>
      </c>
      <c r="O7">
        <v>0</v>
      </c>
      <c r="P7">
        <v>9</v>
      </c>
      <c r="Q7">
        <v>0</v>
      </c>
      <c r="R7">
        <v>10</v>
      </c>
      <c r="S7">
        <v>0</v>
      </c>
      <c r="T7">
        <v>10</v>
      </c>
      <c r="U7">
        <v>0</v>
      </c>
      <c r="V7">
        <v>10</v>
      </c>
      <c r="W7">
        <v>0</v>
      </c>
      <c r="X7">
        <v>10</v>
      </c>
      <c r="Y7">
        <v>0</v>
      </c>
      <c r="Z7">
        <v>10</v>
      </c>
      <c r="AD7">
        <v>0</v>
      </c>
      <c r="AE7">
        <v>100</v>
      </c>
      <c r="AF7">
        <v>10</v>
      </c>
      <c r="AG7">
        <v>80</v>
      </c>
      <c r="AH7">
        <v>0</v>
      </c>
      <c r="AI7">
        <v>100</v>
      </c>
      <c r="AJ7">
        <v>0</v>
      </c>
      <c r="AK7">
        <v>100</v>
      </c>
      <c r="AL7">
        <v>0</v>
      </c>
      <c r="AM7">
        <v>100</v>
      </c>
      <c r="AN7">
        <v>0</v>
      </c>
      <c r="AO7">
        <v>100</v>
      </c>
    </row>
    <row r="8" spans="1:41">
      <c r="A8">
        <v>6</v>
      </c>
      <c r="B8">
        <v>1</v>
      </c>
      <c r="C8">
        <v>8</v>
      </c>
      <c r="D8">
        <v>0</v>
      </c>
      <c r="E8">
        <v>10</v>
      </c>
      <c r="F8">
        <v>0</v>
      </c>
      <c r="G8">
        <v>10</v>
      </c>
      <c r="H8">
        <v>0</v>
      </c>
      <c r="I8">
        <v>10</v>
      </c>
      <c r="J8">
        <v>0</v>
      </c>
      <c r="K8">
        <v>10</v>
      </c>
      <c r="L8">
        <v>0</v>
      </c>
      <c r="M8">
        <v>10</v>
      </c>
      <c r="O8">
        <v>1</v>
      </c>
      <c r="P8">
        <v>8</v>
      </c>
      <c r="Q8">
        <v>0</v>
      </c>
      <c r="R8">
        <v>10</v>
      </c>
      <c r="S8">
        <v>0</v>
      </c>
      <c r="T8">
        <v>10</v>
      </c>
      <c r="U8">
        <v>0</v>
      </c>
      <c r="V8">
        <v>10</v>
      </c>
      <c r="W8">
        <v>0</v>
      </c>
      <c r="X8">
        <v>10</v>
      </c>
      <c r="Y8">
        <v>0</v>
      </c>
      <c r="Z8">
        <v>10</v>
      </c>
      <c r="AD8">
        <v>100</v>
      </c>
      <c r="AE8">
        <v>100</v>
      </c>
      <c r="AF8">
        <v>90</v>
      </c>
      <c r="AG8">
        <v>90</v>
      </c>
      <c r="AH8">
        <v>100</v>
      </c>
      <c r="AI8">
        <v>100</v>
      </c>
      <c r="AJ8">
        <v>100</v>
      </c>
      <c r="AK8">
        <v>100</v>
      </c>
      <c r="AL8">
        <v>100</v>
      </c>
      <c r="AM8">
        <v>100</v>
      </c>
      <c r="AN8">
        <v>100</v>
      </c>
      <c r="AO8">
        <v>100</v>
      </c>
    </row>
    <row r="9" spans="1:41">
      <c r="A9">
        <v>7</v>
      </c>
      <c r="B9">
        <v>1</v>
      </c>
      <c r="C9">
        <v>8</v>
      </c>
      <c r="D9">
        <v>0</v>
      </c>
      <c r="E9">
        <v>10</v>
      </c>
      <c r="F9">
        <v>1</v>
      </c>
      <c r="G9">
        <v>9</v>
      </c>
      <c r="H9">
        <v>0</v>
      </c>
      <c r="I9">
        <v>10</v>
      </c>
      <c r="J9">
        <v>0</v>
      </c>
      <c r="K9">
        <v>10</v>
      </c>
      <c r="L9">
        <v>0</v>
      </c>
      <c r="M9">
        <v>10</v>
      </c>
      <c r="O9">
        <v>1</v>
      </c>
      <c r="P9">
        <v>8</v>
      </c>
      <c r="Q9">
        <v>0</v>
      </c>
      <c r="R9">
        <v>10</v>
      </c>
      <c r="S9">
        <v>1</v>
      </c>
      <c r="T9">
        <v>9</v>
      </c>
      <c r="U9">
        <v>0</v>
      </c>
      <c r="V9">
        <v>10</v>
      </c>
      <c r="W9">
        <v>0</v>
      </c>
      <c r="X9">
        <v>10</v>
      </c>
      <c r="Y9">
        <v>0</v>
      </c>
      <c r="Z9">
        <v>10</v>
      </c>
      <c r="AD9">
        <v>0</v>
      </c>
      <c r="AE9">
        <v>1</v>
      </c>
      <c r="AF9">
        <v>0.1111111111111111</v>
      </c>
      <c r="AG9">
        <v>0.88888888888888884</v>
      </c>
      <c r="AH9">
        <v>0</v>
      </c>
      <c r="AI9">
        <v>1</v>
      </c>
      <c r="AJ9">
        <v>0</v>
      </c>
      <c r="AK9">
        <v>1</v>
      </c>
      <c r="AL9">
        <v>0</v>
      </c>
      <c r="AM9">
        <v>1</v>
      </c>
      <c r="AN9">
        <v>0</v>
      </c>
      <c r="AO9">
        <v>1</v>
      </c>
    </row>
    <row r="10" spans="1:41">
      <c r="A10">
        <v>8</v>
      </c>
      <c r="B10">
        <v>0</v>
      </c>
      <c r="C10">
        <v>9</v>
      </c>
      <c r="D10">
        <v>0</v>
      </c>
      <c r="E10">
        <v>10</v>
      </c>
      <c r="F10">
        <v>0</v>
      </c>
      <c r="G10">
        <v>10</v>
      </c>
      <c r="H10">
        <v>0</v>
      </c>
      <c r="I10">
        <v>10</v>
      </c>
      <c r="J10">
        <v>0</v>
      </c>
      <c r="K10">
        <v>10</v>
      </c>
      <c r="L10">
        <v>0</v>
      </c>
      <c r="M10">
        <v>10</v>
      </c>
      <c r="O10">
        <v>0</v>
      </c>
      <c r="P10">
        <v>9</v>
      </c>
      <c r="Q10">
        <v>0</v>
      </c>
      <c r="R10">
        <v>10</v>
      </c>
      <c r="S10">
        <v>0</v>
      </c>
      <c r="T10">
        <v>10</v>
      </c>
      <c r="U10">
        <v>0</v>
      </c>
      <c r="V10">
        <v>10</v>
      </c>
      <c r="W10">
        <v>0</v>
      </c>
      <c r="X10">
        <v>10</v>
      </c>
      <c r="Y10">
        <v>0</v>
      </c>
      <c r="Z10">
        <v>10</v>
      </c>
      <c r="AD10">
        <v>0</v>
      </c>
      <c r="AE10">
        <v>100</v>
      </c>
      <c r="AF10">
        <v>12</v>
      </c>
      <c r="AG10">
        <v>88</v>
      </c>
      <c r="AH10">
        <v>14</v>
      </c>
      <c r="AI10">
        <v>76</v>
      </c>
      <c r="AJ10">
        <v>0</v>
      </c>
      <c r="AK10">
        <v>100</v>
      </c>
      <c r="AL10">
        <v>0</v>
      </c>
      <c r="AM10">
        <v>100</v>
      </c>
      <c r="AN10">
        <v>0</v>
      </c>
      <c r="AO10">
        <v>100</v>
      </c>
    </row>
    <row r="11" spans="1:41">
      <c r="A11">
        <v>9</v>
      </c>
      <c r="B11">
        <v>0</v>
      </c>
      <c r="C11">
        <v>9</v>
      </c>
      <c r="D11">
        <v>0</v>
      </c>
      <c r="E11">
        <v>10</v>
      </c>
      <c r="F11">
        <v>0</v>
      </c>
      <c r="G11">
        <v>10</v>
      </c>
      <c r="H11">
        <v>0</v>
      </c>
      <c r="I11">
        <v>10</v>
      </c>
      <c r="J11">
        <v>0</v>
      </c>
      <c r="K11">
        <v>10</v>
      </c>
      <c r="L11">
        <v>0</v>
      </c>
      <c r="M11">
        <v>10</v>
      </c>
      <c r="O11">
        <v>0</v>
      </c>
      <c r="P11">
        <v>9</v>
      </c>
      <c r="Q11">
        <v>0</v>
      </c>
      <c r="R11">
        <v>10</v>
      </c>
      <c r="S11">
        <v>0</v>
      </c>
      <c r="T11">
        <v>10</v>
      </c>
      <c r="U11">
        <v>0</v>
      </c>
      <c r="V11">
        <v>10</v>
      </c>
      <c r="W11">
        <v>0</v>
      </c>
      <c r="X11">
        <v>10</v>
      </c>
      <c r="Y11">
        <v>0</v>
      </c>
      <c r="Z11">
        <v>10</v>
      </c>
      <c r="AD11">
        <v>100</v>
      </c>
      <c r="AE11">
        <v>100</v>
      </c>
      <c r="AF11">
        <v>100</v>
      </c>
      <c r="AG11">
        <v>100</v>
      </c>
      <c r="AH11">
        <v>90</v>
      </c>
      <c r="AI11">
        <v>90</v>
      </c>
      <c r="AJ11">
        <v>100</v>
      </c>
      <c r="AK11">
        <v>100</v>
      </c>
      <c r="AL11">
        <v>100</v>
      </c>
      <c r="AM11">
        <v>100</v>
      </c>
      <c r="AN11">
        <v>100</v>
      </c>
      <c r="AO11">
        <v>100</v>
      </c>
    </row>
    <row r="12" spans="1:41">
      <c r="A12">
        <v>10</v>
      </c>
      <c r="B12">
        <v>0</v>
      </c>
      <c r="C12">
        <v>10</v>
      </c>
      <c r="D12">
        <v>1</v>
      </c>
      <c r="E12">
        <v>8</v>
      </c>
      <c r="F12">
        <v>0</v>
      </c>
      <c r="G12">
        <v>10</v>
      </c>
      <c r="H12">
        <v>0</v>
      </c>
      <c r="I12">
        <v>10</v>
      </c>
      <c r="J12">
        <v>0</v>
      </c>
      <c r="K12">
        <v>10</v>
      </c>
      <c r="L12">
        <v>0</v>
      </c>
      <c r="M12">
        <v>10</v>
      </c>
      <c r="O12">
        <f>SUM(O2:O11)</f>
        <v>8</v>
      </c>
      <c r="P12">
        <f t="shared" ref="P12:Z12" si="0">SUM(P2:P11)</f>
        <v>82</v>
      </c>
      <c r="Q12">
        <f t="shared" si="0"/>
        <v>2</v>
      </c>
      <c r="R12">
        <f t="shared" si="0"/>
        <v>98</v>
      </c>
      <c r="S12">
        <f t="shared" si="0"/>
        <v>6</v>
      </c>
      <c r="T12">
        <f t="shared" si="0"/>
        <v>94</v>
      </c>
      <c r="U12">
        <f t="shared" si="0"/>
        <v>0</v>
      </c>
      <c r="V12">
        <f t="shared" si="0"/>
        <v>100</v>
      </c>
      <c r="W12">
        <f t="shared" si="0"/>
        <v>0</v>
      </c>
      <c r="X12">
        <f t="shared" si="0"/>
        <v>100</v>
      </c>
      <c r="Y12">
        <f t="shared" si="0"/>
        <v>0</v>
      </c>
      <c r="Z12">
        <f t="shared" si="0"/>
        <v>100</v>
      </c>
      <c r="AD12">
        <v>0</v>
      </c>
      <c r="AE12">
        <v>1</v>
      </c>
      <c r="AF12">
        <v>0.12</v>
      </c>
      <c r="AG12">
        <v>0.88</v>
      </c>
      <c r="AH12">
        <v>0.15555555555555556</v>
      </c>
      <c r="AI12">
        <v>0.84444444444444444</v>
      </c>
      <c r="AJ12">
        <v>0</v>
      </c>
      <c r="AK12">
        <v>1</v>
      </c>
      <c r="AL12">
        <v>0</v>
      </c>
      <c r="AM12">
        <v>1</v>
      </c>
      <c r="AN12">
        <v>0</v>
      </c>
      <c r="AO12">
        <v>1</v>
      </c>
    </row>
    <row r="13" spans="1:41">
      <c r="A13">
        <v>11</v>
      </c>
      <c r="B13">
        <v>0</v>
      </c>
      <c r="C13">
        <v>10</v>
      </c>
      <c r="D13">
        <v>0</v>
      </c>
      <c r="E13">
        <v>9</v>
      </c>
      <c r="F13">
        <v>0</v>
      </c>
      <c r="G13">
        <v>10</v>
      </c>
      <c r="H13">
        <v>0</v>
      </c>
      <c r="I13">
        <v>10</v>
      </c>
      <c r="J13">
        <v>0</v>
      </c>
      <c r="K13">
        <v>10</v>
      </c>
      <c r="L13">
        <v>0</v>
      </c>
      <c r="M13">
        <v>10</v>
      </c>
      <c r="O13">
        <f>SUM(O12:P12)</f>
        <v>90</v>
      </c>
      <c r="P13">
        <f>SUM(O12:P12)</f>
        <v>90</v>
      </c>
      <c r="Q13">
        <f t="shared" ref="Q13" si="1">SUM(Q12:R12)</f>
        <v>100</v>
      </c>
      <c r="R13">
        <f t="shared" ref="R13" si="2">SUM(Q12:R12)</f>
        <v>100</v>
      </c>
      <c r="S13">
        <f t="shared" ref="S13" si="3">SUM(S12:T12)</f>
        <v>100</v>
      </c>
      <c r="T13">
        <f t="shared" ref="T13" si="4">SUM(S12:T12)</f>
        <v>100</v>
      </c>
      <c r="U13">
        <f t="shared" ref="U13" si="5">SUM(U12:V12)</f>
        <v>100</v>
      </c>
      <c r="V13">
        <f t="shared" ref="V13" si="6">SUM(U12:V12)</f>
        <v>100</v>
      </c>
      <c r="W13">
        <f t="shared" ref="W13" si="7">SUM(W12:X12)</f>
        <v>100</v>
      </c>
      <c r="X13">
        <f t="shared" ref="X13" si="8">SUM(W12:X12)</f>
        <v>100</v>
      </c>
      <c r="Y13">
        <f t="shared" ref="Y13" si="9">SUM(Y12:Z12)</f>
        <v>100</v>
      </c>
      <c r="Z13">
        <f t="shared" ref="Z13" si="10">SUM(Y12:Z12)</f>
        <v>100</v>
      </c>
      <c r="AD13">
        <v>0</v>
      </c>
      <c r="AE13">
        <v>100</v>
      </c>
      <c r="AF13">
        <v>0</v>
      </c>
      <c r="AG13">
        <v>100</v>
      </c>
      <c r="AH13">
        <v>0</v>
      </c>
      <c r="AI13">
        <v>100</v>
      </c>
      <c r="AJ13">
        <v>14</v>
      </c>
      <c r="AK13">
        <v>76</v>
      </c>
      <c r="AL13">
        <v>12</v>
      </c>
      <c r="AM13">
        <v>88</v>
      </c>
      <c r="AN13">
        <v>10</v>
      </c>
      <c r="AO13">
        <v>90</v>
      </c>
    </row>
    <row r="14" spans="1:41">
      <c r="A14">
        <v>12</v>
      </c>
      <c r="B14">
        <v>0</v>
      </c>
      <c r="C14">
        <v>10</v>
      </c>
      <c r="D14">
        <v>0</v>
      </c>
      <c r="E14">
        <v>9</v>
      </c>
      <c r="F14">
        <v>0</v>
      </c>
      <c r="G14">
        <v>10</v>
      </c>
      <c r="H14">
        <v>0</v>
      </c>
      <c r="I14">
        <v>10</v>
      </c>
      <c r="J14">
        <v>0</v>
      </c>
      <c r="K14">
        <v>10</v>
      </c>
      <c r="L14">
        <v>0</v>
      </c>
      <c r="M14">
        <v>10</v>
      </c>
      <c r="O14">
        <f>O12/O13</f>
        <v>8.8888888888888892E-2</v>
      </c>
      <c r="P14">
        <f t="shared" ref="P14:Z14" si="11">P12/P13</f>
        <v>0.91111111111111109</v>
      </c>
      <c r="Q14">
        <f t="shared" si="11"/>
        <v>0.02</v>
      </c>
      <c r="R14">
        <f t="shared" si="11"/>
        <v>0.98</v>
      </c>
      <c r="S14">
        <f t="shared" si="11"/>
        <v>0.06</v>
      </c>
      <c r="T14">
        <f t="shared" si="11"/>
        <v>0.94</v>
      </c>
      <c r="U14">
        <f t="shared" si="11"/>
        <v>0</v>
      </c>
      <c r="V14">
        <f t="shared" si="11"/>
        <v>1</v>
      </c>
      <c r="W14">
        <f t="shared" si="11"/>
        <v>0</v>
      </c>
      <c r="X14">
        <f t="shared" si="11"/>
        <v>1</v>
      </c>
      <c r="Y14">
        <f t="shared" si="11"/>
        <v>0</v>
      </c>
      <c r="Z14">
        <f t="shared" si="11"/>
        <v>1</v>
      </c>
      <c r="AD14">
        <v>100</v>
      </c>
      <c r="AE14">
        <v>100</v>
      </c>
      <c r="AF14">
        <v>100</v>
      </c>
      <c r="AG14">
        <v>100</v>
      </c>
      <c r="AH14">
        <v>100</v>
      </c>
      <c r="AI14">
        <v>100</v>
      </c>
      <c r="AJ14">
        <v>90</v>
      </c>
      <c r="AK14">
        <v>90</v>
      </c>
      <c r="AL14">
        <v>100</v>
      </c>
      <c r="AM14">
        <v>100</v>
      </c>
      <c r="AN14">
        <v>100</v>
      </c>
      <c r="AO14">
        <v>100</v>
      </c>
    </row>
    <row r="15" spans="1:41">
      <c r="A15">
        <v>13</v>
      </c>
      <c r="B15">
        <v>0</v>
      </c>
      <c r="C15">
        <v>10</v>
      </c>
      <c r="D15">
        <v>1</v>
      </c>
      <c r="E15">
        <v>8</v>
      </c>
      <c r="F15">
        <v>0</v>
      </c>
      <c r="G15">
        <v>10</v>
      </c>
      <c r="H15">
        <v>0</v>
      </c>
      <c r="I15">
        <v>10</v>
      </c>
      <c r="J15">
        <v>0</v>
      </c>
      <c r="K15">
        <v>10</v>
      </c>
      <c r="L15">
        <v>0</v>
      </c>
      <c r="M15">
        <v>10</v>
      </c>
      <c r="AD15">
        <v>0</v>
      </c>
      <c r="AE15">
        <v>1</v>
      </c>
      <c r="AF15">
        <v>0</v>
      </c>
      <c r="AG15">
        <v>1</v>
      </c>
      <c r="AH15">
        <v>0</v>
      </c>
      <c r="AI15">
        <v>1</v>
      </c>
      <c r="AJ15">
        <v>0.15555555555555556</v>
      </c>
      <c r="AK15">
        <v>0.84444444444444444</v>
      </c>
      <c r="AL15">
        <v>0.12</v>
      </c>
      <c r="AM15">
        <v>0.88</v>
      </c>
      <c r="AN15">
        <v>0.1</v>
      </c>
      <c r="AO15">
        <v>0.9</v>
      </c>
    </row>
    <row r="16" spans="1:41">
      <c r="A16">
        <v>14</v>
      </c>
      <c r="B16">
        <v>0</v>
      </c>
      <c r="C16">
        <v>10</v>
      </c>
      <c r="D16">
        <v>1</v>
      </c>
      <c r="E16">
        <v>8</v>
      </c>
      <c r="F16">
        <v>0</v>
      </c>
      <c r="G16">
        <v>10</v>
      </c>
      <c r="H16">
        <v>0</v>
      </c>
      <c r="I16">
        <v>10</v>
      </c>
      <c r="J16">
        <v>0</v>
      </c>
      <c r="K16">
        <v>10</v>
      </c>
      <c r="L16">
        <v>0</v>
      </c>
      <c r="M16">
        <v>10</v>
      </c>
      <c r="O16">
        <v>0</v>
      </c>
      <c r="P16">
        <v>10</v>
      </c>
      <c r="Q16">
        <v>1</v>
      </c>
      <c r="R16">
        <v>8</v>
      </c>
      <c r="S16">
        <v>0</v>
      </c>
      <c r="T16">
        <v>10</v>
      </c>
      <c r="U16">
        <v>0</v>
      </c>
      <c r="V16">
        <v>10</v>
      </c>
      <c r="W16">
        <v>0</v>
      </c>
      <c r="X16">
        <v>10</v>
      </c>
      <c r="Y16">
        <v>0</v>
      </c>
      <c r="Z16">
        <v>10</v>
      </c>
      <c r="AD16">
        <v>0</v>
      </c>
      <c r="AE16">
        <v>100</v>
      </c>
      <c r="AF16">
        <v>0</v>
      </c>
      <c r="AG16">
        <v>100</v>
      </c>
      <c r="AH16">
        <v>0</v>
      </c>
      <c r="AI16">
        <v>100</v>
      </c>
      <c r="AJ16">
        <v>0</v>
      </c>
      <c r="AK16">
        <v>100</v>
      </c>
      <c r="AL16">
        <v>14</v>
      </c>
      <c r="AM16">
        <v>76</v>
      </c>
      <c r="AN16">
        <v>4</v>
      </c>
      <c r="AO16">
        <v>96</v>
      </c>
    </row>
    <row r="17" spans="1:64">
      <c r="A17">
        <v>15</v>
      </c>
      <c r="B17">
        <v>0</v>
      </c>
      <c r="C17">
        <v>10</v>
      </c>
      <c r="D17">
        <v>2</v>
      </c>
      <c r="E17">
        <v>7</v>
      </c>
      <c r="F17">
        <v>0</v>
      </c>
      <c r="G17">
        <v>10</v>
      </c>
      <c r="H17">
        <v>0</v>
      </c>
      <c r="I17">
        <v>10</v>
      </c>
      <c r="J17">
        <v>0</v>
      </c>
      <c r="K17">
        <v>10</v>
      </c>
      <c r="L17">
        <v>0</v>
      </c>
      <c r="M17">
        <v>10</v>
      </c>
      <c r="O17">
        <v>0</v>
      </c>
      <c r="P17">
        <v>10</v>
      </c>
      <c r="Q17">
        <v>0</v>
      </c>
      <c r="R17">
        <v>9</v>
      </c>
      <c r="S17">
        <v>0</v>
      </c>
      <c r="T17">
        <v>10</v>
      </c>
      <c r="U17">
        <v>0</v>
      </c>
      <c r="V17">
        <v>10</v>
      </c>
      <c r="W17">
        <v>0</v>
      </c>
      <c r="X17">
        <v>10</v>
      </c>
      <c r="Y17">
        <v>0</v>
      </c>
      <c r="Z17">
        <v>10</v>
      </c>
      <c r="AD17">
        <v>100</v>
      </c>
      <c r="AE17">
        <v>100</v>
      </c>
      <c r="AF17">
        <v>100</v>
      </c>
      <c r="AG17">
        <v>100</v>
      </c>
      <c r="AH17">
        <v>100</v>
      </c>
      <c r="AI17">
        <v>100</v>
      </c>
      <c r="AJ17">
        <v>100</v>
      </c>
      <c r="AK17">
        <v>100</v>
      </c>
      <c r="AL17">
        <v>90</v>
      </c>
      <c r="AM17">
        <v>90</v>
      </c>
      <c r="AN17">
        <v>100</v>
      </c>
      <c r="AO17">
        <v>100</v>
      </c>
    </row>
    <row r="18" spans="1:64">
      <c r="A18">
        <v>16</v>
      </c>
      <c r="B18">
        <v>0</v>
      </c>
      <c r="C18">
        <v>10</v>
      </c>
      <c r="D18">
        <v>2</v>
      </c>
      <c r="E18">
        <v>7</v>
      </c>
      <c r="F18">
        <v>0</v>
      </c>
      <c r="G18">
        <v>10</v>
      </c>
      <c r="H18">
        <v>0</v>
      </c>
      <c r="I18">
        <v>10</v>
      </c>
      <c r="J18">
        <v>0</v>
      </c>
      <c r="K18">
        <v>10</v>
      </c>
      <c r="L18">
        <v>0</v>
      </c>
      <c r="M18">
        <v>10</v>
      </c>
      <c r="O18">
        <v>0</v>
      </c>
      <c r="P18">
        <v>10</v>
      </c>
      <c r="Q18">
        <v>0</v>
      </c>
      <c r="R18">
        <v>9</v>
      </c>
      <c r="S18">
        <v>0</v>
      </c>
      <c r="T18">
        <v>10</v>
      </c>
      <c r="U18">
        <v>0</v>
      </c>
      <c r="V18">
        <v>10</v>
      </c>
      <c r="W18">
        <v>0</v>
      </c>
      <c r="X18">
        <v>10</v>
      </c>
      <c r="Y18">
        <v>0</v>
      </c>
      <c r="Z18">
        <v>10</v>
      </c>
      <c r="AD18">
        <v>0</v>
      </c>
      <c r="AE18">
        <v>1</v>
      </c>
      <c r="AF18">
        <v>0</v>
      </c>
      <c r="AG18">
        <v>1</v>
      </c>
      <c r="AH18">
        <v>0</v>
      </c>
      <c r="AI18">
        <v>1</v>
      </c>
      <c r="AJ18">
        <v>0</v>
      </c>
      <c r="AK18">
        <v>1</v>
      </c>
      <c r="AL18">
        <v>0.15555555555555556</v>
      </c>
      <c r="AM18">
        <v>0.84444444444444444</v>
      </c>
      <c r="AN18">
        <v>0.04</v>
      </c>
      <c r="AO18">
        <v>0.96</v>
      </c>
    </row>
    <row r="19" spans="1:64">
      <c r="A19">
        <v>17</v>
      </c>
      <c r="B19">
        <v>0</v>
      </c>
      <c r="C19">
        <v>10</v>
      </c>
      <c r="D19">
        <v>1</v>
      </c>
      <c r="E19">
        <v>8</v>
      </c>
      <c r="F19">
        <v>0</v>
      </c>
      <c r="G19">
        <v>10</v>
      </c>
      <c r="H19">
        <v>0</v>
      </c>
      <c r="I19">
        <v>10</v>
      </c>
      <c r="J19">
        <v>0</v>
      </c>
      <c r="K19">
        <v>10</v>
      </c>
      <c r="L19">
        <v>0</v>
      </c>
      <c r="M19">
        <v>10</v>
      </c>
      <c r="O19">
        <v>0</v>
      </c>
      <c r="P19">
        <v>10</v>
      </c>
      <c r="Q19">
        <v>1</v>
      </c>
      <c r="R19">
        <v>8</v>
      </c>
      <c r="S19">
        <v>0</v>
      </c>
      <c r="T19">
        <v>10</v>
      </c>
      <c r="U19">
        <v>0</v>
      </c>
      <c r="V19">
        <v>10</v>
      </c>
      <c r="W19">
        <v>0</v>
      </c>
      <c r="X19">
        <v>10</v>
      </c>
      <c r="Y19">
        <v>0</v>
      </c>
      <c r="Z19">
        <v>10</v>
      </c>
      <c r="AD19">
        <v>0</v>
      </c>
      <c r="AE19">
        <v>100</v>
      </c>
      <c r="AF19">
        <v>0</v>
      </c>
      <c r="AG19">
        <v>100</v>
      </c>
      <c r="AH19">
        <v>0</v>
      </c>
      <c r="AI19">
        <v>100</v>
      </c>
      <c r="AJ19">
        <v>1</v>
      </c>
      <c r="AK19">
        <v>99</v>
      </c>
      <c r="AL19">
        <v>32</v>
      </c>
      <c r="AM19">
        <v>68</v>
      </c>
      <c r="AN19">
        <v>18</v>
      </c>
      <c r="AO19">
        <v>72</v>
      </c>
    </row>
    <row r="20" spans="1:64">
      <c r="A20">
        <v>18</v>
      </c>
      <c r="B20">
        <v>0</v>
      </c>
      <c r="C20">
        <v>10</v>
      </c>
      <c r="D20">
        <v>0</v>
      </c>
      <c r="E20">
        <v>9</v>
      </c>
      <c r="F20">
        <v>0</v>
      </c>
      <c r="G20">
        <v>10</v>
      </c>
      <c r="H20">
        <v>0</v>
      </c>
      <c r="I20">
        <v>10</v>
      </c>
      <c r="J20">
        <v>0</v>
      </c>
      <c r="K20">
        <v>10</v>
      </c>
      <c r="L20">
        <v>0</v>
      </c>
      <c r="M20">
        <v>10</v>
      </c>
      <c r="O20">
        <v>0</v>
      </c>
      <c r="P20">
        <v>10</v>
      </c>
      <c r="Q20">
        <v>1</v>
      </c>
      <c r="R20">
        <v>8</v>
      </c>
      <c r="S20">
        <v>0</v>
      </c>
      <c r="T20">
        <v>10</v>
      </c>
      <c r="U20">
        <v>0</v>
      </c>
      <c r="V20">
        <v>10</v>
      </c>
      <c r="W20">
        <v>0</v>
      </c>
      <c r="X20">
        <v>10</v>
      </c>
      <c r="Y20">
        <v>0</v>
      </c>
      <c r="Z20">
        <v>10</v>
      </c>
      <c r="AD20">
        <v>100</v>
      </c>
      <c r="AE20">
        <v>100</v>
      </c>
      <c r="AF20">
        <v>100</v>
      </c>
      <c r="AG20">
        <v>100</v>
      </c>
      <c r="AH20">
        <v>100</v>
      </c>
      <c r="AI20">
        <v>100</v>
      </c>
      <c r="AJ20">
        <v>100</v>
      </c>
      <c r="AK20">
        <v>100</v>
      </c>
      <c r="AL20">
        <v>100</v>
      </c>
      <c r="AM20">
        <v>100</v>
      </c>
      <c r="AN20">
        <v>90</v>
      </c>
      <c r="AO20">
        <v>90</v>
      </c>
    </row>
    <row r="21" spans="1:64">
      <c r="A21">
        <v>19</v>
      </c>
      <c r="B21">
        <v>0</v>
      </c>
      <c r="C21">
        <v>10</v>
      </c>
      <c r="D21">
        <v>2</v>
      </c>
      <c r="E21">
        <v>7</v>
      </c>
      <c r="F21">
        <v>0</v>
      </c>
      <c r="G21">
        <v>10</v>
      </c>
      <c r="H21">
        <v>0</v>
      </c>
      <c r="I21">
        <v>10</v>
      </c>
      <c r="J21">
        <v>0</v>
      </c>
      <c r="K21">
        <v>10</v>
      </c>
      <c r="L21">
        <v>0</v>
      </c>
      <c r="M21">
        <v>10</v>
      </c>
      <c r="O21">
        <v>0</v>
      </c>
      <c r="P21">
        <v>10</v>
      </c>
      <c r="Q21">
        <v>2</v>
      </c>
      <c r="R21">
        <v>7</v>
      </c>
      <c r="S21">
        <v>0</v>
      </c>
      <c r="T21">
        <v>10</v>
      </c>
      <c r="U21">
        <v>0</v>
      </c>
      <c r="V21">
        <v>10</v>
      </c>
      <c r="W21">
        <v>0</v>
      </c>
      <c r="X21">
        <v>10</v>
      </c>
      <c r="Y21">
        <v>0</v>
      </c>
      <c r="Z21">
        <v>10</v>
      </c>
      <c r="AD21">
        <v>0</v>
      </c>
      <c r="AE21">
        <v>1</v>
      </c>
      <c r="AF21">
        <v>0</v>
      </c>
      <c r="AG21">
        <v>1</v>
      </c>
      <c r="AH21">
        <v>0</v>
      </c>
      <c r="AI21">
        <v>1</v>
      </c>
      <c r="AJ21">
        <v>0.01</v>
      </c>
      <c r="AK21">
        <v>0.99</v>
      </c>
      <c r="AL21">
        <v>0.32</v>
      </c>
      <c r="AM21">
        <v>0.68</v>
      </c>
      <c r="AN21">
        <v>0.2</v>
      </c>
      <c r="AO21">
        <v>0.8</v>
      </c>
    </row>
    <row r="22" spans="1:64">
      <c r="A22">
        <v>20</v>
      </c>
      <c r="B22">
        <v>0</v>
      </c>
      <c r="C22">
        <v>10</v>
      </c>
      <c r="D22">
        <v>1</v>
      </c>
      <c r="E22">
        <v>9</v>
      </c>
      <c r="F22">
        <v>1</v>
      </c>
      <c r="G22">
        <v>8</v>
      </c>
      <c r="H22">
        <v>0</v>
      </c>
      <c r="I22">
        <v>10</v>
      </c>
      <c r="J22">
        <v>0</v>
      </c>
      <c r="K22">
        <v>10</v>
      </c>
      <c r="L22">
        <v>0</v>
      </c>
      <c r="M22">
        <v>10</v>
      </c>
      <c r="O22">
        <v>0</v>
      </c>
      <c r="P22">
        <v>10</v>
      </c>
      <c r="Q22">
        <v>2</v>
      </c>
      <c r="R22">
        <v>7</v>
      </c>
      <c r="S22">
        <v>0</v>
      </c>
      <c r="T22">
        <v>10</v>
      </c>
      <c r="U22">
        <v>0</v>
      </c>
      <c r="V22">
        <v>10</v>
      </c>
      <c r="W22">
        <v>0</v>
      </c>
      <c r="X22">
        <v>10</v>
      </c>
      <c r="Y22">
        <v>0</v>
      </c>
      <c r="Z22">
        <v>10</v>
      </c>
    </row>
    <row r="23" spans="1:64">
      <c r="A23">
        <v>21</v>
      </c>
      <c r="B23">
        <v>0</v>
      </c>
      <c r="C23">
        <v>10</v>
      </c>
      <c r="D23">
        <v>4</v>
      </c>
      <c r="E23">
        <v>6</v>
      </c>
      <c r="F23">
        <v>4</v>
      </c>
      <c r="G23">
        <v>5</v>
      </c>
      <c r="H23">
        <v>0</v>
      </c>
      <c r="I23">
        <v>10</v>
      </c>
      <c r="J23">
        <v>0</v>
      </c>
      <c r="K23">
        <v>10</v>
      </c>
      <c r="L23">
        <v>0</v>
      </c>
      <c r="M23">
        <v>10</v>
      </c>
      <c r="O23">
        <v>0</v>
      </c>
      <c r="P23">
        <v>10</v>
      </c>
      <c r="Q23">
        <v>1</v>
      </c>
      <c r="R23">
        <v>8</v>
      </c>
      <c r="S23">
        <v>0</v>
      </c>
      <c r="T23">
        <v>10</v>
      </c>
      <c r="U23">
        <v>0</v>
      </c>
      <c r="V23">
        <v>10</v>
      </c>
      <c r="W23">
        <v>0</v>
      </c>
      <c r="X23">
        <v>10</v>
      </c>
      <c r="Y23">
        <v>0</v>
      </c>
      <c r="Z23">
        <v>10</v>
      </c>
      <c r="AT23" s="2"/>
      <c r="AU23" s="16"/>
      <c r="AV23" s="3" t="s">
        <v>2</v>
      </c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4"/>
      <c r="BI23" s="35"/>
      <c r="BJ23" s="14" t="s">
        <v>25</v>
      </c>
      <c r="BK23" s="14" t="s">
        <v>23</v>
      </c>
      <c r="BL23" s="15" t="s">
        <v>24</v>
      </c>
    </row>
    <row r="24" spans="1:64">
      <c r="A24">
        <v>22</v>
      </c>
      <c r="B24">
        <v>0</v>
      </c>
      <c r="C24">
        <v>10</v>
      </c>
      <c r="D24">
        <v>1</v>
      </c>
      <c r="E24">
        <v>9</v>
      </c>
      <c r="F24">
        <v>1</v>
      </c>
      <c r="G24">
        <v>8</v>
      </c>
      <c r="H24">
        <v>0</v>
      </c>
      <c r="I24">
        <v>10</v>
      </c>
      <c r="J24">
        <v>0</v>
      </c>
      <c r="K24">
        <v>10</v>
      </c>
      <c r="L24">
        <v>0</v>
      </c>
      <c r="M24">
        <v>10</v>
      </c>
      <c r="O24">
        <v>0</v>
      </c>
      <c r="P24">
        <v>10</v>
      </c>
      <c r="Q24">
        <v>0</v>
      </c>
      <c r="R24">
        <v>9</v>
      </c>
      <c r="S24">
        <v>0</v>
      </c>
      <c r="T24">
        <v>10</v>
      </c>
      <c r="U24">
        <v>0</v>
      </c>
      <c r="V24">
        <v>10</v>
      </c>
      <c r="W24">
        <v>0</v>
      </c>
      <c r="X24">
        <v>10</v>
      </c>
      <c r="Y24">
        <v>0</v>
      </c>
      <c r="Z24">
        <v>10</v>
      </c>
      <c r="AT24" s="23"/>
      <c r="AU24" s="17"/>
      <c r="AV24" s="22" t="s">
        <v>4</v>
      </c>
      <c r="AW24" s="21"/>
      <c r="AX24" s="22" t="s">
        <v>6</v>
      </c>
      <c r="AY24" s="21"/>
      <c r="AZ24" s="22" t="s">
        <v>8</v>
      </c>
      <c r="BA24" s="21"/>
      <c r="BB24" s="22" t="s">
        <v>10</v>
      </c>
      <c r="BC24" s="21"/>
      <c r="BD24" s="22" t="s">
        <v>12</v>
      </c>
      <c r="BE24" s="21"/>
      <c r="BF24" s="20" t="s">
        <v>14</v>
      </c>
      <c r="BG24" s="21"/>
      <c r="BI24" s="33" t="s">
        <v>3</v>
      </c>
      <c r="BJ24" s="1">
        <v>0.91009174311926611</v>
      </c>
      <c r="BK24" s="1">
        <v>8.8888888888888892E-2</v>
      </c>
      <c r="BL24" s="32">
        <v>0.98399999999999999</v>
      </c>
    </row>
    <row r="25" spans="1:64">
      <c r="A25">
        <v>23</v>
      </c>
      <c r="B25">
        <v>0</v>
      </c>
      <c r="C25">
        <v>10</v>
      </c>
      <c r="D25">
        <v>0</v>
      </c>
      <c r="E25">
        <v>10</v>
      </c>
      <c r="F25">
        <v>1</v>
      </c>
      <c r="G25">
        <v>8</v>
      </c>
      <c r="H25">
        <v>0</v>
      </c>
      <c r="I25">
        <v>10</v>
      </c>
      <c r="J25">
        <v>0</v>
      </c>
      <c r="K25">
        <v>10</v>
      </c>
      <c r="L25">
        <v>0</v>
      </c>
      <c r="M25">
        <v>10</v>
      </c>
      <c r="O25">
        <v>0</v>
      </c>
      <c r="P25">
        <v>10</v>
      </c>
      <c r="Q25">
        <v>2</v>
      </c>
      <c r="R25">
        <v>7</v>
      </c>
      <c r="S25">
        <v>0</v>
      </c>
      <c r="T25">
        <v>10</v>
      </c>
      <c r="U25">
        <v>0</v>
      </c>
      <c r="V25">
        <v>10</v>
      </c>
      <c r="W25">
        <v>0</v>
      </c>
      <c r="X25">
        <v>10</v>
      </c>
      <c r="Y25">
        <v>0</v>
      </c>
      <c r="Z25">
        <v>10</v>
      </c>
      <c r="AS25" s="7"/>
      <c r="AT25" s="24" t="s">
        <v>17</v>
      </c>
      <c r="AU25" s="4"/>
      <c r="AV25" s="18" t="s">
        <v>15</v>
      </c>
      <c r="AW25" s="19"/>
      <c r="AX25" s="18" t="s">
        <v>15</v>
      </c>
      <c r="AY25" s="19"/>
      <c r="AZ25" s="18" t="s">
        <v>15</v>
      </c>
      <c r="BA25" s="19"/>
      <c r="BB25" s="18" t="s">
        <v>15</v>
      </c>
      <c r="BC25" s="19"/>
      <c r="BD25" s="18" t="s">
        <v>15</v>
      </c>
      <c r="BE25" s="19"/>
      <c r="BF25" s="5" t="s">
        <v>15</v>
      </c>
      <c r="BG25" s="6"/>
      <c r="BI25" s="33" t="s">
        <v>5</v>
      </c>
      <c r="BJ25" s="1">
        <v>0.92660550458715596</v>
      </c>
      <c r="BK25" s="1">
        <v>0.1111111111111111</v>
      </c>
      <c r="BL25" s="9">
        <v>1</v>
      </c>
    </row>
    <row r="26" spans="1:64">
      <c r="A26">
        <v>24</v>
      </c>
      <c r="B26">
        <v>0</v>
      </c>
      <c r="C26">
        <v>10</v>
      </c>
      <c r="D26">
        <v>3</v>
      </c>
      <c r="E26">
        <v>7</v>
      </c>
      <c r="F26">
        <v>3</v>
      </c>
      <c r="G26">
        <v>6</v>
      </c>
      <c r="H26">
        <v>0</v>
      </c>
      <c r="I26">
        <v>10</v>
      </c>
      <c r="J26">
        <v>0</v>
      </c>
      <c r="K26">
        <v>10</v>
      </c>
      <c r="L26">
        <v>0</v>
      </c>
      <c r="M26">
        <v>10</v>
      </c>
      <c r="O26">
        <f>SUM(O16:O25)</f>
        <v>0</v>
      </c>
      <c r="P26">
        <f t="shared" ref="P26" si="12">SUM(P16:P25)</f>
        <v>100</v>
      </c>
      <c r="Q26">
        <f t="shared" ref="Q26" si="13">SUM(Q16:Q25)</f>
        <v>10</v>
      </c>
      <c r="R26">
        <f t="shared" ref="R26" si="14">SUM(R16:R25)</f>
        <v>80</v>
      </c>
      <c r="S26">
        <f t="shared" ref="S26" si="15">SUM(S16:S25)</f>
        <v>0</v>
      </c>
      <c r="T26">
        <f t="shared" ref="T26" si="16">SUM(T16:T25)</f>
        <v>100</v>
      </c>
      <c r="U26">
        <f t="shared" ref="U26" si="17">SUM(U16:U25)</f>
        <v>0</v>
      </c>
      <c r="V26">
        <f t="shared" ref="V26" si="18">SUM(V16:V25)</f>
        <v>100</v>
      </c>
      <c r="W26">
        <f t="shared" ref="W26" si="19">SUM(W16:W25)</f>
        <v>0</v>
      </c>
      <c r="X26">
        <f t="shared" ref="X26" si="20">SUM(X16:X25)</f>
        <v>100</v>
      </c>
      <c r="Y26">
        <f t="shared" ref="Y26" si="21">SUM(Y16:Y25)</f>
        <v>0</v>
      </c>
      <c r="Z26">
        <f t="shared" ref="Z26" si="22">SUM(Z16:Z25)</f>
        <v>100</v>
      </c>
      <c r="AT26" s="10" t="s">
        <v>18</v>
      </c>
      <c r="AU26" s="19"/>
      <c r="AV26" s="13" t="s">
        <v>0</v>
      </c>
      <c r="AW26" s="15" t="s">
        <v>1</v>
      </c>
      <c r="AX26" s="14" t="s">
        <v>0</v>
      </c>
      <c r="AY26" s="15" t="s">
        <v>1</v>
      </c>
      <c r="AZ26" s="14" t="s">
        <v>0</v>
      </c>
      <c r="BA26" s="15" t="s">
        <v>1</v>
      </c>
      <c r="BB26" s="14" t="s">
        <v>0</v>
      </c>
      <c r="BC26" s="15" t="s">
        <v>1</v>
      </c>
      <c r="BD26" s="14" t="s">
        <v>0</v>
      </c>
      <c r="BE26" s="15" t="s">
        <v>1</v>
      </c>
      <c r="BF26" s="14" t="s">
        <v>0</v>
      </c>
      <c r="BG26" s="15" t="s">
        <v>1</v>
      </c>
      <c r="BI26" s="33" t="s">
        <v>7</v>
      </c>
      <c r="BJ26" s="1">
        <v>0.90825688073394495</v>
      </c>
      <c r="BK26" s="1">
        <v>0.15555555555555556</v>
      </c>
      <c r="BL26" s="9">
        <v>0.97599999999999998</v>
      </c>
    </row>
    <row r="27" spans="1:64">
      <c r="A27">
        <v>25</v>
      </c>
      <c r="B27">
        <v>0</v>
      </c>
      <c r="C27">
        <v>10</v>
      </c>
      <c r="D27">
        <v>1</v>
      </c>
      <c r="E27">
        <v>9</v>
      </c>
      <c r="F27">
        <v>1</v>
      </c>
      <c r="G27">
        <v>8</v>
      </c>
      <c r="H27">
        <v>0</v>
      </c>
      <c r="I27">
        <v>10</v>
      </c>
      <c r="J27">
        <v>0</v>
      </c>
      <c r="K27">
        <v>10</v>
      </c>
      <c r="L27">
        <v>0</v>
      </c>
      <c r="M27">
        <v>10</v>
      </c>
      <c r="O27">
        <f>SUM(O26:P26)</f>
        <v>100</v>
      </c>
      <c r="P27">
        <f>SUM(O26:P26)</f>
        <v>100</v>
      </c>
      <c r="Q27">
        <f t="shared" ref="Q27" si="23">SUM(Q26:R26)</f>
        <v>90</v>
      </c>
      <c r="R27">
        <f t="shared" ref="R27" si="24">SUM(Q26:R26)</f>
        <v>90</v>
      </c>
      <c r="S27">
        <f t="shared" ref="S27" si="25">SUM(S26:T26)</f>
        <v>100</v>
      </c>
      <c r="T27">
        <f t="shared" ref="T27" si="26">SUM(S26:T26)</f>
        <v>100</v>
      </c>
      <c r="U27">
        <f t="shared" ref="U27" si="27">SUM(U26:V26)</f>
        <v>100</v>
      </c>
      <c r="V27">
        <f t="shared" ref="V27" si="28">SUM(U26:V26)</f>
        <v>100</v>
      </c>
      <c r="W27">
        <f t="shared" ref="W27" si="29">SUM(W26:X26)</f>
        <v>100</v>
      </c>
      <c r="X27">
        <f t="shared" ref="X27" si="30">SUM(W26:X26)</f>
        <v>100</v>
      </c>
      <c r="Y27">
        <f t="shared" ref="Y27" si="31">SUM(Y26:Z26)</f>
        <v>100</v>
      </c>
      <c r="Z27">
        <f t="shared" ref="Z27" si="32">SUM(Y26:Z26)</f>
        <v>100</v>
      </c>
      <c r="AT27" s="25" t="s">
        <v>16</v>
      </c>
      <c r="AU27" s="7" t="s">
        <v>0</v>
      </c>
      <c r="AV27" s="28">
        <v>8.8888888888888892E-2</v>
      </c>
      <c r="AW27" s="32">
        <v>0.91111111111111109</v>
      </c>
      <c r="AX27" s="28">
        <v>0.1111111111111111</v>
      </c>
      <c r="AY27" s="32">
        <v>0.88888888888888884</v>
      </c>
      <c r="AZ27" s="28">
        <v>0.15555555555555556</v>
      </c>
      <c r="BA27" s="32">
        <v>0.84444444444444444</v>
      </c>
      <c r="BB27" s="28">
        <v>0.15555555555555556</v>
      </c>
      <c r="BC27" s="32">
        <v>0.84444444444444444</v>
      </c>
      <c r="BD27" s="28">
        <v>0.15555555555555556</v>
      </c>
      <c r="BE27" s="32">
        <v>0.84444444444444444</v>
      </c>
      <c r="BF27" s="28">
        <v>0.2</v>
      </c>
      <c r="BG27" s="32">
        <v>0.8</v>
      </c>
      <c r="BI27" s="33" t="s">
        <v>9</v>
      </c>
      <c r="BJ27" s="1">
        <v>0.88990825688073394</v>
      </c>
      <c r="BK27" s="1">
        <v>0.15555555555555556</v>
      </c>
      <c r="BL27" s="9">
        <v>0.95599999999999996</v>
      </c>
    </row>
    <row r="28" spans="1:64">
      <c r="A28">
        <v>26</v>
      </c>
      <c r="B28">
        <v>0</v>
      </c>
      <c r="C28">
        <v>10</v>
      </c>
      <c r="D28">
        <v>1</v>
      </c>
      <c r="E28">
        <v>9</v>
      </c>
      <c r="F28">
        <v>1</v>
      </c>
      <c r="G28">
        <v>8</v>
      </c>
      <c r="H28">
        <v>0</v>
      </c>
      <c r="I28">
        <v>10</v>
      </c>
      <c r="J28">
        <v>0</v>
      </c>
      <c r="K28">
        <v>10</v>
      </c>
      <c r="L28">
        <v>0</v>
      </c>
      <c r="M28">
        <v>10</v>
      </c>
      <c r="O28">
        <f>O26/O27</f>
        <v>0</v>
      </c>
      <c r="P28">
        <f t="shared" ref="P28" si="33">P26/P27</f>
        <v>1</v>
      </c>
      <c r="Q28">
        <f t="shared" ref="Q28" si="34">Q26/Q27</f>
        <v>0.1111111111111111</v>
      </c>
      <c r="R28">
        <f t="shared" ref="R28" si="35">R26/R27</f>
        <v>0.88888888888888884</v>
      </c>
      <c r="S28">
        <f t="shared" ref="S28" si="36">S26/S27</f>
        <v>0</v>
      </c>
      <c r="T28">
        <f t="shared" ref="T28" si="37">T26/T27</f>
        <v>1</v>
      </c>
      <c r="U28">
        <f t="shared" ref="U28" si="38">U26/U27</f>
        <v>0</v>
      </c>
      <c r="V28">
        <f t="shared" ref="V28" si="39">V26/V27</f>
        <v>1</v>
      </c>
      <c r="W28">
        <f t="shared" ref="W28" si="40">W26/W27</f>
        <v>0</v>
      </c>
      <c r="X28">
        <f t="shared" ref="X28" si="41">X26/X27</f>
        <v>1</v>
      </c>
      <c r="Y28">
        <f t="shared" ref="Y28" si="42">Y26/Y27</f>
        <v>0</v>
      </c>
      <c r="Z28">
        <f t="shared" ref="Z28" si="43">Z26/Z27</f>
        <v>1</v>
      </c>
      <c r="AF28">
        <v>2</v>
      </c>
      <c r="AH28">
        <v>6</v>
      </c>
      <c r="AJ28">
        <v>0</v>
      </c>
      <c r="AL28">
        <v>0</v>
      </c>
      <c r="AN28">
        <v>0</v>
      </c>
      <c r="AQ28">
        <f>SUM(AF28:AN28)</f>
        <v>8</v>
      </c>
      <c r="AT28" s="26"/>
      <c r="AU28" s="17" t="s">
        <v>1</v>
      </c>
      <c r="AV28" s="31">
        <v>1.6E-2</v>
      </c>
      <c r="AW28" s="12">
        <v>0.98399999999999999</v>
      </c>
      <c r="AX28" s="31">
        <v>0</v>
      </c>
      <c r="AY28" s="12">
        <v>1</v>
      </c>
      <c r="AZ28" s="31">
        <v>2.4E-2</v>
      </c>
      <c r="BA28" s="12">
        <v>0.97599999999999998</v>
      </c>
      <c r="BB28" s="31">
        <v>4.3999999999999997E-2</v>
      </c>
      <c r="BC28" s="12">
        <v>0.95599999999999996</v>
      </c>
      <c r="BD28" s="31">
        <v>8.0000000000000002E-3</v>
      </c>
      <c r="BE28" s="12">
        <v>0.99199999999999999</v>
      </c>
      <c r="BF28" s="31">
        <v>6.6000000000000003E-2</v>
      </c>
      <c r="BG28" s="12">
        <v>0.93400000000000005</v>
      </c>
      <c r="BI28" s="33" t="s">
        <v>11</v>
      </c>
      <c r="BJ28" s="1">
        <v>0.92293577981651376</v>
      </c>
      <c r="BK28" s="1">
        <v>0.15555555555555556</v>
      </c>
      <c r="BL28" s="9">
        <v>0.99199999999999999</v>
      </c>
    </row>
    <row r="29" spans="1:64">
      <c r="A29">
        <v>27</v>
      </c>
      <c r="B29">
        <v>0</v>
      </c>
      <c r="C29">
        <v>10</v>
      </c>
      <c r="D29">
        <v>1</v>
      </c>
      <c r="E29">
        <v>9</v>
      </c>
      <c r="F29">
        <v>0</v>
      </c>
      <c r="G29">
        <v>9</v>
      </c>
      <c r="H29">
        <v>0</v>
      </c>
      <c r="I29">
        <v>10</v>
      </c>
      <c r="J29">
        <v>0</v>
      </c>
      <c r="K29">
        <v>10</v>
      </c>
      <c r="L29">
        <v>0</v>
      </c>
      <c r="M29">
        <v>10</v>
      </c>
      <c r="AF29">
        <v>100</v>
      </c>
      <c r="AH29">
        <v>100</v>
      </c>
      <c r="AJ29">
        <v>100</v>
      </c>
      <c r="AL29">
        <v>100</v>
      </c>
      <c r="AN29">
        <v>100</v>
      </c>
      <c r="AQ29">
        <f>SUM(AF29:AN29)</f>
        <v>500</v>
      </c>
      <c r="AR29">
        <f>AQ28/AQ29</f>
        <v>1.6E-2</v>
      </c>
      <c r="BI29" s="34" t="s">
        <v>13</v>
      </c>
      <c r="BJ29" s="1">
        <v>0.87339449541284409</v>
      </c>
      <c r="BK29" s="1">
        <v>0.2</v>
      </c>
      <c r="BL29" s="12">
        <v>0.93400000000000005</v>
      </c>
    </row>
    <row r="30" spans="1:64">
      <c r="A30">
        <v>28</v>
      </c>
      <c r="B30">
        <v>0</v>
      </c>
      <c r="C30">
        <v>10</v>
      </c>
      <c r="D30">
        <v>0</v>
      </c>
      <c r="E30">
        <v>10</v>
      </c>
      <c r="F30">
        <v>0</v>
      </c>
      <c r="G30">
        <v>9</v>
      </c>
      <c r="H30">
        <v>0</v>
      </c>
      <c r="I30">
        <v>10</v>
      </c>
      <c r="J30">
        <v>0</v>
      </c>
      <c r="K30">
        <v>10</v>
      </c>
      <c r="L30">
        <v>0</v>
      </c>
      <c r="M30">
        <v>10</v>
      </c>
      <c r="O30">
        <v>0</v>
      </c>
      <c r="P30">
        <v>10</v>
      </c>
      <c r="Q30">
        <v>1</v>
      </c>
      <c r="R30">
        <v>9</v>
      </c>
      <c r="S30">
        <v>1</v>
      </c>
      <c r="T30">
        <v>8</v>
      </c>
      <c r="U30">
        <v>0</v>
      </c>
      <c r="V30">
        <v>10</v>
      </c>
      <c r="W30">
        <v>0</v>
      </c>
      <c r="X30">
        <v>10</v>
      </c>
      <c r="Y30">
        <v>0</v>
      </c>
      <c r="Z30">
        <v>10</v>
      </c>
      <c r="AF30">
        <v>0.02</v>
      </c>
      <c r="AH30">
        <v>0.06</v>
      </c>
      <c r="AJ30">
        <v>0</v>
      </c>
      <c r="AL30">
        <v>0</v>
      </c>
      <c r="AN30">
        <v>0</v>
      </c>
      <c r="AT30" s="2"/>
      <c r="AU30" s="16"/>
      <c r="AV30" s="20" t="s">
        <v>2</v>
      </c>
      <c r="AW30" s="22"/>
      <c r="AX30" s="22"/>
      <c r="AY30" s="22"/>
      <c r="AZ30" s="22"/>
      <c r="BA30" s="22"/>
      <c r="BI30" s="35" t="s">
        <v>28</v>
      </c>
      <c r="BJ30" s="30">
        <f>AVERAGE(BJ24:BJ29)</f>
        <v>0.90519877675840987</v>
      </c>
      <c r="BK30" s="30">
        <f t="shared" ref="BK30:BL30" si="44">AVERAGE(BK24:BK29)</f>
        <v>0.14444444444444446</v>
      </c>
      <c r="BL30" s="29">
        <f t="shared" si="44"/>
        <v>0.97366666666666657</v>
      </c>
    </row>
    <row r="31" spans="1:64">
      <c r="A31">
        <v>29</v>
      </c>
      <c r="B31">
        <v>0</v>
      </c>
      <c r="C31">
        <v>10</v>
      </c>
      <c r="D31">
        <v>0</v>
      </c>
      <c r="E31">
        <v>10</v>
      </c>
      <c r="F31">
        <v>2</v>
      </c>
      <c r="G31">
        <v>7</v>
      </c>
      <c r="H31">
        <v>0</v>
      </c>
      <c r="I31">
        <v>10</v>
      </c>
      <c r="J31">
        <v>0</v>
      </c>
      <c r="K31">
        <v>10</v>
      </c>
      <c r="L31">
        <v>0</v>
      </c>
      <c r="M31">
        <v>10</v>
      </c>
      <c r="O31">
        <v>0</v>
      </c>
      <c r="P31">
        <v>10</v>
      </c>
      <c r="Q31">
        <v>4</v>
      </c>
      <c r="R31">
        <v>6</v>
      </c>
      <c r="S31">
        <v>4</v>
      </c>
      <c r="T31">
        <v>5</v>
      </c>
      <c r="U31">
        <v>0</v>
      </c>
      <c r="V31">
        <v>10</v>
      </c>
      <c r="W31">
        <v>0</v>
      </c>
      <c r="X31">
        <v>10</v>
      </c>
      <c r="Y31">
        <v>0</v>
      </c>
      <c r="Z31">
        <v>10</v>
      </c>
      <c r="AD31">
        <v>0</v>
      </c>
      <c r="AH31">
        <v>0</v>
      </c>
      <c r="AJ31">
        <v>0</v>
      </c>
      <c r="AL31">
        <v>0</v>
      </c>
      <c r="AN31">
        <v>0</v>
      </c>
      <c r="AQ31">
        <f>SUM(AF31:AN31)</f>
        <v>0</v>
      </c>
      <c r="AT31" s="23"/>
      <c r="AU31" s="17"/>
      <c r="AV31" s="22" t="s">
        <v>4</v>
      </c>
      <c r="AW31" s="21"/>
      <c r="AX31" s="22" t="s">
        <v>6</v>
      </c>
      <c r="AY31" s="21"/>
      <c r="AZ31" s="22" t="s">
        <v>8</v>
      </c>
      <c r="BA31" s="21"/>
    </row>
    <row r="32" spans="1:64">
      <c r="A32">
        <v>30</v>
      </c>
      <c r="B32">
        <v>0</v>
      </c>
      <c r="C32">
        <v>10</v>
      </c>
      <c r="D32">
        <v>0</v>
      </c>
      <c r="E32">
        <v>10</v>
      </c>
      <c r="F32">
        <v>0</v>
      </c>
      <c r="G32">
        <v>10</v>
      </c>
      <c r="H32">
        <v>2</v>
      </c>
      <c r="I32">
        <v>7</v>
      </c>
      <c r="J32">
        <v>2</v>
      </c>
      <c r="K32">
        <v>8</v>
      </c>
      <c r="L32">
        <v>2</v>
      </c>
      <c r="M32">
        <v>8</v>
      </c>
      <c r="O32">
        <v>0</v>
      </c>
      <c r="P32">
        <v>10</v>
      </c>
      <c r="Q32">
        <v>1</v>
      </c>
      <c r="R32">
        <v>9</v>
      </c>
      <c r="S32">
        <v>1</v>
      </c>
      <c r="T32">
        <v>8</v>
      </c>
      <c r="U32">
        <v>0</v>
      </c>
      <c r="V32">
        <v>10</v>
      </c>
      <c r="W32">
        <v>0</v>
      </c>
      <c r="X32">
        <v>10</v>
      </c>
      <c r="Y32">
        <v>0</v>
      </c>
      <c r="Z32">
        <v>10</v>
      </c>
      <c r="AD32">
        <v>100</v>
      </c>
      <c r="AH32">
        <v>100</v>
      </c>
      <c r="AJ32">
        <v>100</v>
      </c>
      <c r="AL32">
        <v>100</v>
      </c>
      <c r="AN32">
        <v>100</v>
      </c>
      <c r="AQ32">
        <f>SUM(AD32:AN32)</f>
        <v>500</v>
      </c>
      <c r="AR32">
        <f>AQ31/AQ32</f>
        <v>0</v>
      </c>
      <c r="AT32" s="24" t="s">
        <v>17</v>
      </c>
      <c r="AU32" s="4"/>
      <c r="AV32" s="18" t="s">
        <v>15</v>
      </c>
      <c r="AW32" s="19"/>
      <c r="AX32" s="18" t="s">
        <v>15</v>
      </c>
      <c r="AY32" s="19"/>
      <c r="AZ32" s="18" t="s">
        <v>15</v>
      </c>
      <c r="BA32" s="19"/>
    </row>
    <row r="33" spans="1:53">
      <c r="A33">
        <v>31</v>
      </c>
      <c r="B33">
        <v>0</v>
      </c>
      <c r="C33">
        <v>10</v>
      </c>
      <c r="D33">
        <v>0</v>
      </c>
      <c r="E33">
        <v>10</v>
      </c>
      <c r="F33">
        <v>0</v>
      </c>
      <c r="G33">
        <v>10</v>
      </c>
      <c r="H33">
        <v>1</v>
      </c>
      <c r="I33">
        <v>8</v>
      </c>
      <c r="J33">
        <v>0</v>
      </c>
      <c r="K33">
        <v>10</v>
      </c>
      <c r="L33">
        <v>0</v>
      </c>
      <c r="M33">
        <v>10</v>
      </c>
      <c r="O33">
        <v>0</v>
      </c>
      <c r="P33">
        <v>10</v>
      </c>
      <c r="Q33">
        <v>0</v>
      </c>
      <c r="R33">
        <v>10</v>
      </c>
      <c r="S33">
        <v>1</v>
      </c>
      <c r="T33">
        <v>8</v>
      </c>
      <c r="U33">
        <v>0</v>
      </c>
      <c r="V33">
        <v>10</v>
      </c>
      <c r="W33">
        <v>0</v>
      </c>
      <c r="X33">
        <v>10</v>
      </c>
      <c r="Y33">
        <v>0</v>
      </c>
      <c r="Z33">
        <v>10</v>
      </c>
      <c r="AD33">
        <v>0</v>
      </c>
      <c r="AH33">
        <v>0</v>
      </c>
      <c r="AJ33">
        <v>0</v>
      </c>
      <c r="AL33">
        <v>0</v>
      </c>
      <c r="AN33">
        <v>0</v>
      </c>
      <c r="AT33" s="10" t="s">
        <v>18</v>
      </c>
      <c r="AU33" s="19"/>
      <c r="AV33" s="13" t="s">
        <v>0</v>
      </c>
      <c r="AW33" s="15" t="s">
        <v>1</v>
      </c>
      <c r="AX33" s="14" t="s">
        <v>0</v>
      </c>
      <c r="AY33" s="15" t="s">
        <v>1</v>
      </c>
      <c r="AZ33" s="14" t="s">
        <v>0</v>
      </c>
      <c r="BA33" s="15" t="s">
        <v>1</v>
      </c>
    </row>
    <row r="34" spans="1:53">
      <c r="A34">
        <v>32</v>
      </c>
      <c r="B34">
        <v>0</v>
      </c>
      <c r="C34">
        <v>10</v>
      </c>
      <c r="D34">
        <v>0</v>
      </c>
      <c r="E34">
        <v>10</v>
      </c>
      <c r="F34">
        <v>0</v>
      </c>
      <c r="G34">
        <v>10</v>
      </c>
      <c r="H34">
        <v>1</v>
      </c>
      <c r="I34">
        <v>8</v>
      </c>
      <c r="J34">
        <v>2</v>
      </c>
      <c r="K34">
        <v>8</v>
      </c>
      <c r="L34">
        <v>1</v>
      </c>
      <c r="M34">
        <v>9</v>
      </c>
      <c r="O34">
        <v>0</v>
      </c>
      <c r="P34">
        <v>10</v>
      </c>
      <c r="Q34">
        <v>3</v>
      </c>
      <c r="R34">
        <v>7</v>
      </c>
      <c r="S34">
        <v>3</v>
      </c>
      <c r="T34">
        <v>6</v>
      </c>
      <c r="U34">
        <v>0</v>
      </c>
      <c r="V34">
        <v>10</v>
      </c>
      <c r="W34">
        <v>0</v>
      </c>
      <c r="X34">
        <v>10</v>
      </c>
      <c r="Y34">
        <v>0</v>
      </c>
      <c r="Z34">
        <v>10</v>
      </c>
      <c r="AD34">
        <v>0</v>
      </c>
      <c r="AF34">
        <v>12</v>
      </c>
      <c r="AJ34">
        <v>0</v>
      </c>
      <c r="AL34">
        <v>0</v>
      </c>
      <c r="AN34">
        <v>0</v>
      </c>
      <c r="AQ34">
        <f>SUM(AF34:AN34)</f>
        <v>12</v>
      </c>
      <c r="AT34" s="25" t="s">
        <v>16</v>
      </c>
      <c r="AU34" s="7" t="s">
        <v>0</v>
      </c>
      <c r="AV34" s="28">
        <v>8.8888888888888892E-2</v>
      </c>
      <c r="AW34" s="32">
        <v>0.91111111111111109</v>
      </c>
      <c r="AX34" s="28">
        <v>0.1111111111111111</v>
      </c>
      <c r="AY34" s="32">
        <v>0.88888888888888884</v>
      </c>
      <c r="AZ34" s="28">
        <v>0.15555555555555556</v>
      </c>
      <c r="BA34" s="32">
        <v>0.84444444444444444</v>
      </c>
    </row>
    <row r="35" spans="1:53">
      <c r="A35">
        <v>33</v>
      </c>
      <c r="B35">
        <v>0</v>
      </c>
      <c r="C35">
        <v>10</v>
      </c>
      <c r="D35">
        <v>0</v>
      </c>
      <c r="E35">
        <v>10</v>
      </c>
      <c r="F35">
        <v>0</v>
      </c>
      <c r="G35">
        <v>10</v>
      </c>
      <c r="H35">
        <v>0</v>
      </c>
      <c r="I35">
        <v>9</v>
      </c>
      <c r="J35">
        <v>0</v>
      </c>
      <c r="K35">
        <v>10</v>
      </c>
      <c r="L35">
        <v>0</v>
      </c>
      <c r="M35">
        <v>10</v>
      </c>
      <c r="O35">
        <v>0</v>
      </c>
      <c r="P35">
        <v>10</v>
      </c>
      <c r="Q35">
        <v>1</v>
      </c>
      <c r="R35">
        <v>9</v>
      </c>
      <c r="S35">
        <v>1</v>
      </c>
      <c r="T35">
        <v>8</v>
      </c>
      <c r="U35">
        <v>0</v>
      </c>
      <c r="V35">
        <v>10</v>
      </c>
      <c r="W35">
        <v>0</v>
      </c>
      <c r="X35">
        <v>10</v>
      </c>
      <c r="Y35">
        <v>0</v>
      </c>
      <c r="Z35">
        <v>10</v>
      </c>
      <c r="AD35">
        <v>100</v>
      </c>
      <c r="AF35">
        <v>100</v>
      </c>
      <c r="AJ35">
        <v>100</v>
      </c>
      <c r="AL35">
        <v>100</v>
      </c>
      <c r="AN35">
        <v>100</v>
      </c>
      <c r="AQ35">
        <f>SUM(AD35:AN35)</f>
        <v>500</v>
      </c>
      <c r="AR35">
        <f>AQ34/AQ35</f>
        <v>2.4E-2</v>
      </c>
      <c r="AT35" s="26"/>
      <c r="AU35" s="17" t="s">
        <v>1</v>
      </c>
      <c r="AV35" s="31">
        <v>1.6E-2</v>
      </c>
      <c r="AW35" s="12">
        <v>0.98399999999999999</v>
      </c>
      <c r="AX35" s="31">
        <v>0</v>
      </c>
      <c r="AY35" s="12">
        <v>1</v>
      </c>
      <c r="AZ35" s="31">
        <v>2.4E-2</v>
      </c>
      <c r="BA35" s="12">
        <v>0.97599999999999998</v>
      </c>
    </row>
    <row r="36" spans="1:53">
      <c r="A36">
        <v>34</v>
      </c>
      <c r="B36">
        <v>0</v>
      </c>
      <c r="C36">
        <v>10</v>
      </c>
      <c r="D36">
        <v>0</v>
      </c>
      <c r="E36">
        <v>10</v>
      </c>
      <c r="F36">
        <v>0</v>
      </c>
      <c r="G36">
        <v>10</v>
      </c>
      <c r="H36">
        <v>2</v>
      </c>
      <c r="I36">
        <v>7</v>
      </c>
      <c r="J36">
        <v>0</v>
      </c>
      <c r="K36">
        <v>10</v>
      </c>
      <c r="L36">
        <v>0</v>
      </c>
      <c r="M36">
        <v>10</v>
      </c>
      <c r="O36">
        <v>0</v>
      </c>
      <c r="P36">
        <v>10</v>
      </c>
      <c r="Q36">
        <v>1</v>
      </c>
      <c r="R36">
        <v>9</v>
      </c>
      <c r="S36">
        <v>1</v>
      </c>
      <c r="T36">
        <v>8</v>
      </c>
      <c r="U36">
        <v>0</v>
      </c>
      <c r="V36">
        <v>10</v>
      </c>
      <c r="W36">
        <v>0</v>
      </c>
      <c r="X36">
        <v>10</v>
      </c>
      <c r="Y36">
        <v>0</v>
      </c>
      <c r="Z36">
        <v>10</v>
      </c>
      <c r="AD36">
        <v>0</v>
      </c>
      <c r="AF36">
        <v>0.12</v>
      </c>
      <c r="AJ36">
        <v>0</v>
      </c>
      <c r="AL36">
        <v>0</v>
      </c>
      <c r="AN36">
        <v>0</v>
      </c>
    </row>
    <row r="37" spans="1:53">
      <c r="A37">
        <v>35</v>
      </c>
      <c r="B37">
        <v>0</v>
      </c>
      <c r="C37">
        <v>10</v>
      </c>
      <c r="D37">
        <v>0</v>
      </c>
      <c r="E37">
        <v>10</v>
      </c>
      <c r="F37">
        <v>0</v>
      </c>
      <c r="G37">
        <v>10</v>
      </c>
      <c r="H37">
        <v>3</v>
      </c>
      <c r="I37">
        <v>6</v>
      </c>
      <c r="J37">
        <v>0</v>
      </c>
      <c r="K37">
        <v>10</v>
      </c>
      <c r="L37">
        <v>0</v>
      </c>
      <c r="M37">
        <v>10</v>
      </c>
      <c r="O37">
        <v>0</v>
      </c>
      <c r="P37">
        <v>10</v>
      </c>
      <c r="Q37">
        <v>1</v>
      </c>
      <c r="R37">
        <v>9</v>
      </c>
      <c r="S37">
        <v>0</v>
      </c>
      <c r="T37">
        <v>9</v>
      </c>
      <c r="U37">
        <v>0</v>
      </c>
      <c r="V37">
        <v>10</v>
      </c>
      <c r="W37">
        <v>0</v>
      </c>
      <c r="X37">
        <v>10</v>
      </c>
      <c r="Y37">
        <v>0</v>
      </c>
      <c r="Z37">
        <v>10</v>
      </c>
      <c r="AD37">
        <v>0</v>
      </c>
      <c r="AF37">
        <v>0</v>
      </c>
      <c r="AH37">
        <v>0</v>
      </c>
      <c r="AL37">
        <v>12</v>
      </c>
      <c r="AN37">
        <v>10</v>
      </c>
      <c r="AQ37">
        <f>SUM(AF37:AN37)</f>
        <v>22</v>
      </c>
      <c r="AT37" s="2"/>
      <c r="AU37" s="16"/>
      <c r="AV37" s="20" t="s">
        <v>2</v>
      </c>
      <c r="AW37" s="22"/>
      <c r="AX37" s="22"/>
      <c r="AY37" s="22"/>
      <c r="AZ37" s="22"/>
      <c r="BA37" s="22"/>
    </row>
    <row r="38" spans="1:53">
      <c r="A38">
        <v>36</v>
      </c>
      <c r="B38">
        <v>0</v>
      </c>
      <c r="C38">
        <v>10</v>
      </c>
      <c r="D38">
        <v>0</v>
      </c>
      <c r="E38">
        <v>10</v>
      </c>
      <c r="F38">
        <v>0</v>
      </c>
      <c r="G38">
        <v>10</v>
      </c>
      <c r="H38">
        <v>5</v>
      </c>
      <c r="I38">
        <v>4</v>
      </c>
      <c r="J38">
        <v>4</v>
      </c>
      <c r="K38">
        <v>6</v>
      </c>
      <c r="L38">
        <v>6</v>
      </c>
      <c r="M38">
        <v>4</v>
      </c>
      <c r="O38">
        <v>0</v>
      </c>
      <c r="P38">
        <v>10</v>
      </c>
      <c r="Q38">
        <v>0</v>
      </c>
      <c r="R38">
        <v>10</v>
      </c>
      <c r="S38">
        <v>0</v>
      </c>
      <c r="T38">
        <v>9</v>
      </c>
      <c r="U38">
        <v>0</v>
      </c>
      <c r="V38">
        <v>10</v>
      </c>
      <c r="W38">
        <v>0</v>
      </c>
      <c r="X38">
        <v>10</v>
      </c>
      <c r="Y38">
        <v>0</v>
      </c>
      <c r="Z38">
        <v>10</v>
      </c>
      <c r="AD38">
        <v>100</v>
      </c>
      <c r="AF38">
        <v>100</v>
      </c>
      <c r="AH38">
        <v>100</v>
      </c>
      <c r="AL38">
        <v>100</v>
      </c>
      <c r="AN38">
        <v>100</v>
      </c>
      <c r="AQ38">
        <f>SUM(AD38:AN38)</f>
        <v>500</v>
      </c>
      <c r="AR38">
        <f>AQ37/AQ38</f>
        <v>4.3999999999999997E-2</v>
      </c>
      <c r="AT38" s="23"/>
      <c r="AU38" s="17"/>
      <c r="AV38" s="22" t="s">
        <v>10</v>
      </c>
      <c r="AW38" s="21"/>
      <c r="AX38" s="22" t="s">
        <v>12</v>
      </c>
      <c r="AY38" s="21"/>
      <c r="AZ38" s="20" t="s">
        <v>14</v>
      </c>
      <c r="BA38" s="21"/>
    </row>
    <row r="39" spans="1:53">
      <c r="A39">
        <v>37</v>
      </c>
      <c r="B39">
        <v>0</v>
      </c>
      <c r="C39">
        <v>10</v>
      </c>
      <c r="D39">
        <v>0</v>
      </c>
      <c r="E39">
        <v>10</v>
      </c>
      <c r="F39">
        <v>0</v>
      </c>
      <c r="G39">
        <v>10</v>
      </c>
      <c r="H39">
        <v>0</v>
      </c>
      <c r="I39">
        <v>9</v>
      </c>
      <c r="J39">
        <v>1</v>
      </c>
      <c r="K39">
        <v>9</v>
      </c>
      <c r="L39">
        <v>0</v>
      </c>
      <c r="M39">
        <v>10</v>
      </c>
      <c r="O39">
        <v>0</v>
      </c>
      <c r="P39">
        <v>10</v>
      </c>
      <c r="Q39">
        <v>0</v>
      </c>
      <c r="R39">
        <v>10</v>
      </c>
      <c r="S39">
        <v>2</v>
      </c>
      <c r="T39">
        <v>7</v>
      </c>
      <c r="U39">
        <v>0</v>
      </c>
      <c r="V39">
        <v>10</v>
      </c>
      <c r="W39">
        <v>0</v>
      </c>
      <c r="X39">
        <v>10</v>
      </c>
      <c r="Y39">
        <v>0</v>
      </c>
      <c r="Z39">
        <v>10</v>
      </c>
      <c r="AD39">
        <v>0</v>
      </c>
      <c r="AF39">
        <v>0</v>
      </c>
      <c r="AH39">
        <v>0</v>
      </c>
      <c r="AL39">
        <v>0.12</v>
      </c>
      <c r="AN39">
        <v>0.1</v>
      </c>
      <c r="AT39" s="24" t="s">
        <v>17</v>
      </c>
      <c r="AU39" s="4"/>
      <c r="AV39" s="18" t="s">
        <v>15</v>
      </c>
      <c r="AW39" s="19"/>
      <c r="AX39" s="18" t="s">
        <v>15</v>
      </c>
      <c r="AY39" s="19"/>
      <c r="AZ39" s="5" t="s">
        <v>15</v>
      </c>
      <c r="BA39" s="6"/>
    </row>
    <row r="40" spans="1:53">
      <c r="A40">
        <v>38</v>
      </c>
      <c r="B40">
        <v>0</v>
      </c>
      <c r="C40">
        <v>10</v>
      </c>
      <c r="D40">
        <v>0</v>
      </c>
      <c r="E40">
        <v>10</v>
      </c>
      <c r="F40">
        <v>0</v>
      </c>
      <c r="G40">
        <v>10</v>
      </c>
      <c r="H40">
        <v>0</v>
      </c>
      <c r="I40">
        <v>9</v>
      </c>
      <c r="J40">
        <v>0</v>
      </c>
      <c r="K40">
        <v>10</v>
      </c>
      <c r="L40">
        <v>0</v>
      </c>
      <c r="M40">
        <v>10</v>
      </c>
      <c r="O40">
        <f>SUM(O30:O39)</f>
        <v>0</v>
      </c>
      <c r="P40">
        <f t="shared" ref="P40" si="45">SUM(P30:P39)</f>
        <v>100</v>
      </c>
      <c r="Q40">
        <f t="shared" ref="Q40" si="46">SUM(Q30:Q39)</f>
        <v>12</v>
      </c>
      <c r="R40">
        <f t="shared" ref="R40" si="47">SUM(R30:R39)</f>
        <v>88</v>
      </c>
      <c r="S40">
        <f t="shared" ref="S40" si="48">SUM(S30:S39)</f>
        <v>14</v>
      </c>
      <c r="T40">
        <f t="shared" ref="T40" si="49">SUM(T30:T39)</f>
        <v>76</v>
      </c>
      <c r="U40">
        <f t="shared" ref="U40" si="50">SUM(U30:U39)</f>
        <v>0</v>
      </c>
      <c r="V40">
        <f t="shared" ref="V40" si="51">SUM(V30:V39)</f>
        <v>100</v>
      </c>
      <c r="W40">
        <f t="shared" ref="W40" si="52">SUM(W30:W39)</f>
        <v>0</v>
      </c>
      <c r="X40">
        <f t="shared" ref="X40" si="53">SUM(X30:X39)</f>
        <v>100</v>
      </c>
      <c r="Y40">
        <f t="shared" ref="Y40" si="54">SUM(Y30:Y39)</f>
        <v>0</v>
      </c>
      <c r="Z40">
        <f t="shared" ref="Z40" si="55">SUM(Z30:Z39)</f>
        <v>100</v>
      </c>
      <c r="AD40">
        <v>0</v>
      </c>
      <c r="AF40">
        <v>0</v>
      </c>
      <c r="AH40">
        <v>0</v>
      </c>
      <c r="AJ40">
        <v>0</v>
      </c>
      <c r="AN40">
        <v>4</v>
      </c>
      <c r="AQ40">
        <f>SUM(AF40:AN40)</f>
        <v>4</v>
      </c>
      <c r="AT40" s="10" t="s">
        <v>18</v>
      </c>
      <c r="AU40" s="19"/>
      <c r="AV40" s="14" t="s">
        <v>0</v>
      </c>
      <c r="AW40" s="15" t="s">
        <v>1</v>
      </c>
      <c r="AX40" s="14" t="s">
        <v>0</v>
      </c>
      <c r="AY40" s="15" t="s">
        <v>1</v>
      </c>
      <c r="AZ40" s="14" t="s">
        <v>0</v>
      </c>
      <c r="BA40" s="15" t="s">
        <v>1</v>
      </c>
    </row>
    <row r="41" spans="1:53" ht="20" customHeight="1">
      <c r="A41">
        <v>39</v>
      </c>
      <c r="B41">
        <v>0</v>
      </c>
      <c r="C41">
        <v>10</v>
      </c>
      <c r="D41">
        <v>0</v>
      </c>
      <c r="E41">
        <v>10</v>
      </c>
      <c r="F41">
        <v>0</v>
      </c>
      <c r="G41">
        <v>10</v>
      </c>
      <c r="H41">
        <v>0</v>
      </c>
      <c r="I41">
        <v>9</v>
      </c>
      <c r="J41">
        <v>3</v>
      </c>
      <c r="K41">
        <v>7</v>
      </c>
      <c r="L41">
        <v>1</v>
      </c>
      <c r="M41">
        <v>9</v>
      </c>
      <c r="O41">
        <f>SUM(O40:P40)</f>
        <v>100</v>
      </c>
      <c r="P41">
        <f>SUM(O40:P40)</f>
        <v>100</v>
      </c>
      <c r="Q41">
        <f t="shared" ref="Q41" si="56">SUM(Q40:R40)</f>
        <v>100</v>
      </c>
      <c r="R41">
        <f t="shared" ref="R41" si="57">SUM(Q40:R40)</f>
        <v>100</v>
      </c>
      <c r="S41">
        <f t="shared" ref="S41" si="58">SUM(S40:T40)</f>
        <v>90</v>
      </c>
      <c r="T41">
        <f t="shared" ref="T41" si="59">SUM(S40:T40)</f>
        <v>90</v>
      </c>
      <c r="U41">
        <f t="shared" ref="U41" si="60">SUM(U40:V40)</f>
        <v>100</v>
      </c>
      <c r="V41">
        <f t="shared" ref="V41" si="61">SUM(U40:V40)</f>
        <v>100</v>
      </c>
      <c r="W41">
        <f t="shared" ref="W41" si="62">SUM(W40:X40)</f>
        <v>100</v>
      </c>
      <c r="X41">
        <f t="shared" ref="X41" si="63">SUM(W40:X40)</f>
        <v>100</v>
      </c>
      <c r="Y41">
        <f t="shared" ref="Y41" si="64">SUM(Y40:Z40)</f>
        <v>100</v>
      </c>
      <c r="Z41">
        <f t="shared" ref="Z41" si="65">SUM(Y40:Z40)</f>
        <v>100</v>
      </c>
      <c r="AD41">
        <v>100</v>
      </c>
      <c r="AF41">
        <v>100</v>
      </c>
      <c r="AH41">
        <v>100</v>
      </c>
      <c r="AJ41">
        <v>100</v>
      </c>
      <c r="AN41">
        <v>100</v>
      </c>
      <c r="AQ41">
        <f>SUM(AD41:AN41)</f>
        <v>500</v>
      </c>
      <c r="AR41">
        <f>AQ40/AQ41</f>
        <v>8.0000000000000002E-3</v>
      </c>
      <c r="AT41" s="25" t="s">
        <v>16</v>
      </c>
      <c r="AU41" s="7" t="s">
        <v>0</v>
      </c>
      <c r="AV41" s="28">
        <v>0.15555555555555556</v>
      </c>
      <c r="AW41" s="32">
        <v>0.84444444444444444</v>
      </c>
      <c r="AX41" s="28">
        <v>0.15555555555555556</v>
      </c>
      <c r="AY41" s="32">
        <v>0.84444444444444444</v>
      </c>
      <c r="AZ41" s="28">
        <v>0.2</v>
      </c>
      <c r="BA41" s="32">
        <v>0.8</v>
      </c>
    </row>
    <row r="42" spans="1:53">
      <c r="A42">
        <v>40</v>
      </c>
      <c r="B42">
        <v>0</v>
      </c>
      <c r="C42">
        <v>10</v>
      </c>
      <c r="D42">
        <v>0</v>
      </c>
      <c r="E42">
        <v>10</v>
      </c>
      <c r="F42">
        <v>0</v>
      </c>
      <c r="G42">
        <v>10</v>
      </c>
      <c r="H42">
        <v>0</v>
      </c>
      <c r="I42">
        <v>10</v>
      </c>
      <c r="J42">
        <v>3</v>
      </c>
      <c r="K42">
        <v>6</v>
      </c>
      <c r="L42">
        <v>2</v>
      </c>
      <c r="M42">
        <v>8</v>
      </c>
      <c r="O42">
        <f>O40/O41</f>
        <v>0</v>
      </c>
      <c r="P42">
        <f t="shared" ref="P42" si="66">P40/P41</f>
        <v>1</v>
      </c>
      <c r="Q42">
        <f t="shared" ref="Q42" si="67">Q40/Q41</f>
        <v>0.12</v>
      </c>
      <c r="R42">
        <f t="shared" ref="R42" si="68">R40/R41</f>
        <v>0.88</v>
      </c>
      <c r="S42">
        <f t="shared" ref="S42" si="69">S40/S41</f>
        <v>0.15555555555555556</v>
      </c>
      <c r="T42">
        <f t="shared" ref="T42" si="70">T40/T41</f>
        <v>0.84444444444444444</v>
      </c>
      <c r="U42">
        <f t="shared" ref="U42" si="71">U40/U41</f>
        <v>0</v>
      </c>
      <c r="V42">
        <f t="shared" ref="V42" si="72">V40/V41</f>
        <v>1</v>
      </c>
      <c r="W42">
        <f t="shared" ref="W42" si="73">W40/W41</f>
        <v>0</v>
      </c>
      <c r="X42">
        <f t="shared" ref="X42" si="74">X40/X41</f>
        <v>1</v>
      </c>
      <c r="Y42">
        <f t="shared" ref="Y42" si="75">Y40/Y41</f>
        <v>0</v>
      </c>
      <c r="Z42">
        <f t="shared" ref="Z42" si="76">Z40/Z41</f>
        <v>1</v>
      </c>
      <c r="AD42">
        <v>0</v>
      </c>
      <c r="AF42">
        <v>0</v>
      </c>
      <c r="AH42">
        <v>0</v>
      </c>
      <c r="AJ42">
        <v>0</v>
      </c>
      <c r="AN42">
        <v>0.04</v>
      </c>
      <c r="AT42" s="27"/>
      <c r="AU42" s="17" t="s">
        <v>1</v>
      </c>
      <c r="AV42" s="31">
        <v>4.3999999999999997E-2</v>
      </c>
      <c r="AW42" s="12">
        <v>0.95599999999999996</v>
      </c>
      <c r="AX42" s="31">
        <v>8.0000000000000002E-3</v>
      </c>
      <c r="AY42" s="12">
        <v>0.99199999999999999</v>
      </c>
      <c r="AZ42" s="31">
        <v>6.6000000000000003E-2</v>
      </c>
      <c r="BA42" s="12">
        <v>0.93400000000000005</v>
      </c>
    </row>
    <row r="43" spans="1:53" ht="20" customHeight="1">
      <c r="A43">
        <v>41</v>
      </c>
      <c r="B43">
        <v>0</v>
      </c>
      <c r="C43">
        <v>10</v>
      </c>
      <c r="D43">
        <v>0</v>
      </c>
      <c r="E43">
        <v>10</v>
      </c>
      <c r="F43">
        <v>0</v>
      </c>
      <c r="G43">
        <v>10</v>
      </c>
      <c r="H43">
        <v>0</v>
      </c>
      <c r="I43">
        <v>10</v>
      </c>
      <c r="J43">
        <v>2</v>
      </c>
      <c r="K43">
        <v>7</v>
      </c>
      <c r="L43">
        <v>1</v>
      </c>
      <c r="M43">
        <v>9</v>
      </c>
      <c r="AD43">
        <v>0</v>
      </c>
      <c r="AF43">
        <v>0</v>
      </c>
      <c r="AH43">
        <v>0</v>
      </c>
      <c r="AJ43">
        <v>1</v>
      </c>
      <c r="AL43">
        <v>32</v>
      </c>
      <c r="AQ43">
        <f>SUM(AF43:AN43)</f>
        <v>33</v>
      </c>
    </row>
    <row r="44" spans="1:53">
      <c r="A44">
        <v>42</v>
      </c>
      <c r="B44">
        <v>0</v>
      </c>
      <c r="C44">
        <v>10</v>
      </c>
      <c r="D44">
        <v>0</v>
      </c>
      <c r="E44">
        <v>10</v>
      </c>
      <c r="F44">
        <v>0</v>
      </c>
      <c r="G44">
        <v>10</v>
      </c>
      <c r="H44">
        <v>0</v>
      </c>
      <c r="I44">
        <v>10</v>
      </c>
      <c r="J44">
        <v>1</v>
      </c>
      <c r="K44">
        <v>8</v>
      </c>
      <c r="L44">
        <v>0</v>
      </c>
      <c r="M44">
        <v>10</v>
      </c>
      <c r="O44">
        <v>0</v>
      </c>
      <c r="P44">
        <v>10</v>
      </c>
      <c r="Q44">
        <v>0</v>
      </c>
      <c r="R44">
        <v>10</v>
      </c>
      <c r="S44">
        <v>0</v>
      </c>
      <c r="T44">
        <v>10</v>
      </c>
      <c r="U44">
        <v>2</v>
      </c>
      <c r="V44">
        <v>7</v>
      </c>
      <c r="W44">
        <v>2</v>
      </c>
      <c r="X44">
        <v>8</v>
      </c>
      <c r="Y44">
        <v>2</v>
      </c>
      <c r="Z44">
        <v>8</v>
      </c>
      <c r="AD44">
        <v>100</v>
      </c>
      <c r="AF44">
        <v>100</v>
      </c>
      <c r="AH44">
        <v>100</v>
      </c>
      <c r="AJ44">
        <v>100</v>
      </c>
      <c r="AL44">
        <v>100</v>
      </c>
      <c r="AQ44">
        <f>SUM(AD44:AN44)</f>
        <v>500</v>
      </c>
      <c r="AR44">
        <f>AQ43/AQ44</f>
        <v>6.6000000000000003E-2</v>
      </c>
    </row>
    <row r="45" spans="1:53">
      <c r="A45">
        <v>43</v>
      </c>
      <c r="B45">
        <v>0</v>
      </c>
      <c r="C45">
        <v>10</v>
      </c>
      <c r="D45">
        <v>0</v>
      </c>
      <c r="E45">
        <v>10</v>
      </c>
      <c r="F45">
        <v>0</v>
      </c>
      <c r="G45">
        <v>10</v>
      </c>
      <c r="H45">
        <v>0</v>
      </c>
      <c r="I45">
        <v>10</v>
      </c>
      <c r="J45">
        <v>1</v>
      </c>
      <c r="K45">
        <v>8</v>
      </c>
      <c r="L45">
        <v>0</v>
      </c>
      <c r="M45">
        <v>10</v>
      </c>
      <c r="O45">
        <v>0</v>
      </c>
      <c r="P45">
        <v>10</v>
      </c>
      <c r="Q45">
        <v>0</v>
      </c>
      <c r="R45">
        <v>10</v>
      </c>
      <c r="S45">
        <v>0</v>
      </c>
      <c r="T45">
        <v>10</v>
      </c>
      <c r="U45">
        <v>1</v>
      </c>
      <c r="V45">
        <v>8</v>
      </c>
      <c r="W45">
        <v>0</v>
      </c>
      <c r="X45">
        <v>10</v>
      </c>
      <c r="Y45">
        <v>0</v>
      </c>
      <c r="Z45">
        <v>10</v>
      </c>
      <c r="AD45">
        <v>0</v>
      </c>
      <c r="AF45">
        <v>0</v>
      </c>
      <c r="AH45">
        <v>0</v>
      </c>
      <c r="AJ45">
        <v>0.01</v>
      </c>
      <c r="AL45">
        <v>0.32</v>
      </c>
    </row>
    <row r="46" spans="1:53">
      <c r="A46">
        <v>44</v>
      </c>
      <c r="B46">
        <v>0</v>
      </c>
      <c r="C46">
        <v>10</v>
      </c>
      <c r="D46">
        <v>0</v>
      </c>
      <c r="E46">
        <v>10</v>
      </c>
      <c r="F46">
        <v>0</v>
      </c>
      <c r="G46">
        <v>10</v>
      </c>
      <c r="H46">
        <v>0</v>
      </c>
      <c r="I46">
        <v>10</v>
      </c>
      <c r="J46">
        <v>2</v>
      </c>
      <c r="K46">
        <v>7</v>
      </c>
      <c r="L46">
        <v>0</v>
      </c>
      <c r="M46">
        <v>10</v>
      </c>
      <c r="O46">
        <v>0</v>
      </c>
      <c r="P46">
        <v>10</v>
      </c>
      <c r="Q46">
        <v>0</v>
      </c>
      <c r="R46">
        <v>10</v>
      </c>
      <c r="S46">
        <v>0</v>
      </c>
      <c r="T46">
        <v>10</v>
      </c>
      <c r="U46">
        <v>1</v>
      </c>
      <c r="V46">
        <v>8</v>
      </c>
      <c r="W46">
        <v>2</v>
      </c>
      <c r="X46">
        <v>8</v>
      </c>
      <c r="Y46">
        <v>1</v>
      </c>
      <c r="Z46">
        <v>9</v>
      </c>
    </row>
    <row r="47" spans="1:53">
      <c r="A47">
        <v>45</v>
      </c>
      <c r="B47">
        <v>0</v>
      </c>
      <c r="C47">
        <v>10</v>
      </c>
      <c r="D47">
        <v>0</v>
      </c>
      <c r="E47">
        <v>10</v>
      </c>
      <c r="F47">
        <v>0</v>
      </c>
      <c r="G47">
        <v>10</v>
      </c>
      <c r="H47">
        <v>0</v>
      </c>
      <c r="I47">
        <v>10</v>
      </c>
      <c r="J47">
        <v>0</v>
      </c>
      <c r="K47">
        <v>9</v>
      </c>
      <c r="L47">
        <v>0</v>
      </c>
      <c r="M47">
        <v>10</v>
      </c>
      <c r="O47">
        <v>0</v>
      </c>
      <c r="P47">
        <v>10</v>
      </c>
      <c r="Q47">
        <v>0</v>
      </c>
      <c r="R47">
        <v>10</v>
      </c>
      <c r="S47">
        <v>0</v>
      </c>
      <c r="T47">
        <v>10</v>
      </c>
      <c r="U47">
        <v>0</v>
      </c>
      <c r="V47">
        <v>9</v>
      </c>
      <c r="W47">
        <v>0</v>
      </c>
      <c r="X47">
        <v>10</v>
      </c>
      <c r="Y47">
        <v>0</v>
      </c>
      <c r="Z47">
        <v>10</v>
      </c>
    </row>
    <row r="48" spans="1:53">
      <c r="A48">
        <v>46</v>
      </c>
      <c r="B48">
        <v>0</v>
      </c>
      <c r="C48">
        <v>10</v>
      </c>
      <c r="D48">
        <v>0</v>
      </c>
      <c r="E48">
        <v>10</v>
      </c>
      <c r="F48">
        <v>0</v>
      </c>
      <c r="G48">
        <v>10</v>
      </c>
      <c r="H48">
        <v>0</v>
      </c>
      <c r="I48">
        <v>10</v>
      </c>
      <c r="J48">
        <v>4</v>
      </c>
      <c r="K48">
        <v>5</v>
      </c>
      <c r="L48">
        <v>1</v>
      </c>
      <c r="M48">
        <v>9</v>
      </c>
      <c r="O48">
        <v>0</v>
      </c>
      <c r="P48">
        <v>10</v>
      </c>
      <c r="Q48">
        <v>0</v>
      </c>
      <c r="R48">
        <v>10</v>
      </c>
      <c r="S48">
        <v>0</v>
      </c>
      <c r="T48">
        <v>10</v>
      </c>
      <c r="U48">
        <v>2</v>
      </c>
      <c r="V48">
        <v>7</v>
      </c>
      <c r="W48">
        <v>0</v>
      </c>
      <c r="X48">
        <v>10</v>
      </c>
      <c r="Y48">
        <v>0</v>
      </c>
      <c r="Z48">
        <v>10</v>
      </c>
    </row>
    <row r="49" spans="1:61">
      <c r="A49">
        <v>47</v>
      </c>
      <c r="B49">
        <v>0</v>
      </c>
      <c r="C49">
        <v>10</v>
      </c>
      <c r="D49">
        <v>0</v>
      </c>
      <c r="E49">
        <v>10</v>
      </c>
      <c r="F49">
        <v>0</v>
      </c>
      <c r="G49">
        <v>10</v>
      </c>
      <c r="H49">
        <v>0</v>
      </c>
      <c r="I49">
        <v>10</v>
      </c>
      <c r="J49">
        <v>1</v>
      </c>
      <c r="K49">
        <v>8</v>
      </c>
      <c r="L49">
        <v>0</v>
      </c>
      <c r="M49">
        <v>10</v>
      </c>
      <c r="O49">
        <v>0</v>
      </c>
      <c r="P49">
        <v>10</v>
      </c>
      <c r="Q49">
        <v>0</v>
      </c>
      <c r="R49">
        <v>10</v>
      </c>
      <c r="S49">
        <v>0</v>
      </c>
      <c r="T49">
        <v>10</v>
      </c>
      <c r="U49">
        <v>3</v>
      </c>
      <c r="V49">
        <v>6</v>
      </c>
      <c r="W49">
        <v>0</v>
      </c>
      <c r="X49">
        <v>10</v>
      </c>
      <c r="Y49">
        <v>0</v>
      </c>
      <c r="Z49">
        <v>10</v>
      </c>
      <c r="AD49">
        <v>8</v>
      </c>
      <c r="AE49">
        <v>82</v>
      </c>
      <c r="AF49">
        <v>10</v>
      </c>
      <c r="AG49">
        <v>80</v>
      </c>
      <c r="AH49">
        <v>14</v>
      </c>
      <c r="AI49">
        <v>76</v>
      </c>
      <c r="AJ49">
        <v>14</v>
      </c>
      <c r="AK49">
        <v>76</v>
      </c>
      <c r="AL49">
        <v>14</v>
      </c>
      <c r="AM49">
        <v>76</v>
      </c>
      <c r="AN49">
        <v>18</v>
      </c>
      <c r="AO49">
        <v>72</v>
      </c>
    </row>
    <row r="50" spans="1:61">
      <c r="A50">
        <v>48</v>
      </c>
      <c r="B50">
        <v>0</v>
      </c>
      <c r="C50">
        <v>10</v>
      </c>
      <c r="D50">
        <v>0</v>
      </c>
      <c r="E50">
        <v>10</v>
      </c>
      <c r="F50">
        <v>0</v>
      </c>
      <c r="G50">
        <v>10</v>
      </c>
      <c r="H50">
        <v>0</v>
      </c>
      <c r="I50">
        <v>10</v>
      </c>
      <c r="J50">
        <v>0</v>
      </c>
      <c r="K50">
        <v>9</v>
      </c>
      <c r="L50">
        <v>0</v>
      </c>
      <c r="M50">
        <v>10</v>
      </c>
      <c r="O50">
        <v>0</v>
      </c>
      <c r="P50">
        <v>10</v>
      </c>
      <c r="Q50">
        <v>0</v>
      </c>
      <c r="R50">
        <v>10</v>
      </c>
      <c r="S50">
        <v>0</v>
      </c>
      <c r="T50">
        <v>10</v>
      </c>
      <c r="U50">
        <v>5</v>
      </c>
      <c r="V50">
        <v>4</v>
      </c>
      <c r="W50">
        <v>4</v>
      </c>
      <c r="X50">
        <v>6</v>
      </c>
      <c r="Y50">
        <v>6</v>
      </c>
      <c r="Z50">
        <v>4</v>
      </c>
      <c r="AD50">
        <v>90</v>
      </c>
      <c r="AE50">
        <v>90</v>
      </c>
      <c r="AF50">
        <v>90</v>
      </c>
      <c r="AG50">
        <v>90</v>
      </c>
      <c r="AH50">
        <v>90</v>
      </c>
      <c r="AI50">
        <v>90</v>
      </c>
      <c r="AJ50">
        <v>90</v>
      </c>
      <c r="AK50">
        <v>90</v>
      </c>
      <c r="AL50">
        <v>90</v>
      </c>
      <c r="AM50">
        <v>90</v>
      </c>
      <c r="AN50">
        <v>90</v>
      </c>
      <c r="AO50">
        <v>90</v>
      </c>
      <c r="BD50" s="35"/>
      <c r="BE50" s="14"/>
      <c r="BF50" s="14"/>
      <c r="BG50" s="15"/>
    </row>
    <row r="51" spans="1:61">
      <c r="A51">
        <v>49</v>
      </c>
      <c r="B51">
        <v>0</v>
      </c>
      <c r="C51">
        <v>10</v>
      </c>
      <c r="D51">
        <v>0</v>
      </c>
      <c r="E51">
        <v>10</v>
      </c>
      <c r="F51">
        <v>0</v>
      </c>
      <c r="G51">
        <v>10</v>
      </c>
      <c r="H51">
        <v>0</v>
      </c>
      <c r="I51">
        <v>10</v>
      </c>
      <c r="J51">
        <v>0</v>
      </c>
      <c r="K51">
        <v>9</v>
      </c>
      <c r="L51">
        <v>0</v>
      </c>
      <c r="M51">
        <v>10</v>
      </c>
      <c r="O51">
        <v>0</v>
      </c>
      <c r="P51">
        <v>10</v>
      </c>
      <c r="Q51">
        <v>0</v>
      </c>
      <c r="R51">
        <v>10</v>
      </c>
      <c r="S51">
        <v>0</v>
      </c>
      <c r="T51">
        <v>10</v>
      </c>
      <c r="U51">
        <v>0</v>
      </c>
      <c r="V51">
        <v>9</v>
      </c>
      <c r="W51">
        <v>1</v>
      </c>
      <c r="X51">
        <v>9</v>
      </c>
      <c r="Y51">
        <v>0</v>
      </c>
      <c r="Z51">
        <v>10</v>
      </c>
      <c r="AD51">
        <v>8.8888888888888892E-2</v>
      </c>
      <c r="AE51">
        <v>0.91111111111111109</v>
      </c>
      <c r="AF51">
        <v>0.1111111111111111</v>
      </c>
      <c r="AG51">
        <v>0.88888888888888884</v>
      </c>
      <c r="AH51">
        <v>0.15555555555555556</v>
      </c>
      <c r="AI51">
        <v>0.84444444444444444</v>
      </c>
      <c r="AJ51">
        <v>0.15555555555555556</v>
      </c>
      <c r="AK51">
        <v>0.84444444444444444</v>
      </c>
      <c r="AL51">
        <v>0.15555555555555556</v>
      </c>
      <c r="AM51">
        <v>0.84444444444444444</v>
      </c>
      <c r="AN51">
        <v>0.2</v>
      </c>
      <c r="AO51">
        <v>0.8</v>
      </c>
      <c r="BD51" s="33"/>
      <c r="BE51" s="8"/>
      <c r="BF51" s="8"/>
      <c r="BG51" s="9"/>
    </row>
    <row r="52" spans="1:61">
      <c r="A52">
        <v>50</v>
      </c>
      <c r="B52">
        <v>0</v>
      </c>
      <c r="C52">
        <v>10</v>
      </c>
      <c r="D52">
        <v>0</v>
      </c>
      <c r="E52">
        <v>10</v>
      </c>
      <c r="F52">
        <v>0</v>
      </c>
      <c r="G52">
        <v>10</v>
      </c>
      <c r="H52">
        <v>0</v>
      </c>
      <c r="I52">
        <v>10</v>
      </c>
      <c r="J52">
        <v>9</v>
      </c>
      <c r="K52">
        <v>1</v>
      </c>
      <c r="L52">
        <v>4</v>
      </c>
      <c r="M52">
        <v>5</v>
      </c>
      <c r="O52">
        <v>0</v>
      </c>
      <c r="P52">
        <v>10</v>
      </c>
      <c r="Q52">
        <v>0</v>
      </c>
      <c r="R52">
        <v>10</v>
      </c>
      <c r="S52">
        <v>0</v>
      </c>
      <c r="T52">
        <v>10</v>
      </c>
      <c r="U52">
        <v>0</v>
      </c>
      <c r="V52">
        <v>9</v>
      </c>
      <c r="W52">
        <v>0</v>
      </c>
      <c r="X52">
        <v>10</v>
      </c>
      <c r="Y52">
        <v>0</v>
      </c>
      <c r="Z52">
        <v>10</v>
      </c>
      <c r="AR52" t="s">
        <v>19</v>
      </c>
      <c r="AW52" t="s">
        <v>19</v>
      </c>
      <c r="AX52" t="s">
        <v>20</v>
      </c>
      <c r="AZ52" t="s">
        <v>26</v>
      </c>
      <c r="BD52" s="33"/>
      <c r="BE52" s="8"/>
      <c r="BF52" s="8"/>
      <c r="BG52" s="9" t="s">
        <v>27</v>
      </c>
    </row>
    <row r="53" spans="1:61">
      <c r="A53">
        <v>51</v>
      </c>
      <c r="B53">
        <v>0</v>
      </c>
      <c r="C53">
        <v>10</v>
      </c>
      <c r="D53">
        <v>0</v>
      </c>
      <c r="E53">
        <v>10</v>
      </c>
      <c r="F53">
        <v>0</v>
      </c>
      <c r="G53">
        <v>10</v>
      </c>
      <c r="H53">
        <v>0</v>
      </c>
      <c r="I53">
        <v>10</v>
      </c>
      <c r="J53">
        <v>6</v>
      </c>
      <c r="K53">
        <v>4</v>
      </c>
      <c r="L53">
        <v>3</v>
      </c>
      <c r="M53">
        <v>6</v>
      </c>
      <c r="O53">
        <v>0</v>
      </c>
      <c r="P53">
        <v>10</v>
      </c>
      <c r="Q53">
        <v>0</v>
      </c>
      <c r="R53">
        <v>10</v>
      </c>
      <c r="S53">
        <v>0</v>
      </c>
      <c r="T53">
        <v>10</v>
      </c>
      <c r="U53">
        <v>0</v>
      </c>
      <c r="V53">
        <v>9</v>
      </c>
      <c r="W53">
        <v>3</v>
      </c>
      <c r="X53">
        <v>7</v>
      </c>
      <c r="Y53">
        <v>1</v>
      </c>
      <c r="Z53">
        <v>9</v>
      </c>
      <c r="AW53" t="s">
        <v>21</v>
      </c>
      <c r="AX53" t="s">
        <v>22</v>
      </c>
      <c r="BD53" s="33"/>
      <c r="BE53" s="8"/>
      <c r="BF53" s="8"/>
      <c r="BG53" s="9"/>
    </row>
    <row r="54" spans="1:61">
      <c r="A54">
        <v>52</v>
      </c>
      <c r="B54">
        <v>0</v>
      </c>
      <c r="C54">
        <v>10</v>
      </c>
      <c r="D54">
        <v>0</v>
      </c>
      <c r="E54">
        <v>10</v>
      </c>
      <c r="F54">
        <v>0</v>
      </c>
      <c r="G54">
        <v>10</v>
      </c>
      <c r="H54">
        <v>0</v>
      </c>
      <c r="I54">
        <v>10</v>
      </c>
      <c r="J54">
        <v>7</v>
      </c>
      <c r="K54">
        <v>3</v>
      </c>
      <c r="L54">
        <v>4</v>
      </c>
      <c r="M54">
        <v>5</v>
      </c>
      <c r="O54">
        <f>SUM(O44:O53)</f>
        <v>0</v>
      </c>
      <c r="P54">
        <f t="shared" ref="P54" si="77">SUM(P44:P53)</f>
        <v>100</v>
      </c>
      <c r="Q54">
        <f t="shared" ref="Q54" si="78">SUM(Q44:Q53)</f>
        <v>0</v>
      </c>
      <c r="R54">
        <f t="shared" ref="R54" si="79">SUM(R44:R53)</f>
        <v>100</v>
      </c>
      <c r="S54">
        <f t="shared" ref="S54" si="80">SUM(S44:S53)</f>
        <v>0</v>
      </c>
      <c r="T54">
        <f t="shared" ref="T54" si="81">SUM(T44:T53)</f>
        <v>100</v>
      </c>
      <c r="U54">
        <f t="shared" ref="U54" si="82">SUM(U44:U53)</f>
        <v>14</v>
      </c>
      <c r="V54">
        <f t="shared" ref="V54" si="83">SUM(V44:V53)</f>
        <v>76</v>
      </c>
      <c r="W54">
        <f t="shared" ref="W54" si="84">SUM(W44:W53)</f>
        <v>12</v>
      </c>
      <c r="X54">
        <f t="shared" ref="X54" si="85">SUM(X44:X53)</f>
        <v>88</v>
      </c>
      <c r="Y54">
        <f t="shared" ref="Y54" si="86">SUM(Y44:Y53)</f>
        <v>10</v>
      </c>
      <c r="Z54">
        <f t="shared" ref="Z54" si="87">SUM(Z44:Z53)</f>
        <v>90</v>
      </c>
      <c r="AW54">
        <v>8</v>
      </c>
      <c r="AX54">
        <v>82</v>
      </c>
      <c r="AZ54">
        <f>(AW54+AX55)/SUM(AW54:AX55)</f>
        <v>0.84745762711864403</v>
      </c>
      <c r="BB54">
        <v>0.84745762711864403</v>
      </c>
      <c r="BD54" s="33"/>
      <c r="BE54" s="8">
        <f>AW54/2</f>
        <v>4</v>
      </c>
      <c r="BF54" s="8">
        <f>AX54/2</f>
        <v>41</v>
      </c>
      <c r="BG54" s="9"/>
      <c r="BH54">
        <f>(BE54+BF55)/SUM(BE54:BF55)</f>
        <v>0.91009174311926611</v>
      </c>
      <c r="BI54">
        <v>0.91009174311926611</v>
      </c>
    </row>
    <row r="55" spans="1:61">
      <c r="A55">
        <v>53</v>
      </c>
      <c r="B55">
        <v>0</v>
      </c>
      <c r="C55">
        <v>10</v>
      </c>
      <c r="D55">
        <v>0</v>
      </c>
      <c r="E55">
        <v>10</v>
      </c>
      <c r="F55">
        <v>0</v>
      </c>
      <c r="G55">
        <v>10</v>
      </c>
      <c r="H55">
        <v>1</v>
      </c>
      <c r="I55">
        <v>9</v>
      </c>
      <c r="J55">
        <v>1</v>
      </c>
      <c r="K55">
        <v>9</v>
      </c>
      <c r="L55">
        <v>0</v>
      </c>
      <c r="M55">
        <v>9</v>
      </c>
      <c r="O55">
        <f>SUM(O54:P54)</f>
        <v>100</v>
      </c>
      <c r="P55">
        <f>SUM(O54:P54)</f>
        <v>100</v>
      </c>
      <c r="Q55">
        <f t="shared" ref="Q55" si="88">SUM(Q54:R54)</f>
        <v>100</v>
      </c>
      <c r="R55">
        <f t="shared" ref="R55" si="89">SUM(Q54:R54)</f>
        <v>100</v>
      </c>
      <c r="S55">
        <f t="shared" ref="S55" si="90">SUM(S54:T54)</f>
        <v>100</v>
      </c>
      <c r="T55">
        <f t="shared" ref="T55" si="91">SUM(S54:T54)</f>
        <v>100</v>
      </c>
      <c r="U55">
        <f t="shared" ref="U55" si="92">SUM(U54:V54)</f>
        <v>90</v>
      </c>
      <c r="V55">
        <f t="shared" ref="V55" si="93">SUM(U54:V54)</f>
        <v>90</v>
      </c>
      <c r="W55">
        <f t="shared" ref="W55" si="94">SUM(W54:X54)</f>
        <v>100</v>
      </c>
      <c r="X55">
        <f t="shared" ref="X55" si="95">SUM(W54:X54)</f>
        <v>100</v>
      </c>
      <c r="Y55">
        <f t="shared" ref="Y55" si="96">SUM(Y54:Z54)</f>
        <v>100</v>
      </c>
      <c r="Z55">
        <f t="shared" ref="Z55" si="97">SUM(Y54:Z54)</f>
        <v>100</v>
      </c>
      <c r="AG55">
        <v>98</v>
      </c>
      <c r="AI55">
        <v>94</v>
      </c>
      <c r="AK55">
        <v>100</v>
      </c>
      <c r="AM55">
        <v>100</v>
      </c>
      <c r="AO55">
        <v>100</v>
      </c>
      <c r="AR55">
        <f>SUM(AE55:AO55)</f>
        <v>492</v>
      </c>
      <c r="AW55">
        <f>AQ28</f>
        <v>8</v>
      </c>
      <c r="AX55">
        <f>AR55</f>
        <v>492</v>
      </c>
      <c r="AZ55">
        <f>AW54/(AW54+AX54)</f>
        <v>8.8888888888888892E-2</v>
      </c>
      <c r="BB55">
        <v>8.8888888888888892E-2</v>
      </c>
      <c r="BD55" s="33"/>
      <c r="BE55" s="8">
        <f>AW55</f>
        <v>8</v>
      </c>
      <c r="BF55" s="8">
        <f>AX55</f>
        <v>492</v>
      </c>
      <c r="BG55" s="9"/>
      <c r="BH55">
        <f>BE54/(BE54+BF54)</f>
        <v>8.8888888888888892E-2</v>
      </c>
      <c r="BI55">
        <v>8.8888888888888892E-2</v>
      </c>
    </row>
    <row r="56" spans="1:61">
      <c r="A56">
        <v>54</v>
      </c>
      <c r="B56">
        <v>0</v>
      </c>
      <c r="C56">
        <v>10</v>
      </c>
      <c r="D56">
        <v>0</v>
      </c>
      <c r="E56">
        <v>10</v>
      </c>
      <c r="F56">
        <v>0</v>
      </c>
      <c r="G56">
        <v>10</v>
      </c>
      <c r="H56">
        <v>0</v>
      </c>
      <c r="I56">
        <v>10</v>
      </c>
      <c r="J56">
        <v>0</v>
      </c>
      <c r="K56">
        <v>10</v>
      </c>
      <c r="L56">
        <v>0</v>
      </c>
      <c r="M56">
        <v>9</v>
      </c>
      <c r="O56">
        <f>O54/O55</f>
        <v>0</v>
      </c>
      <c r="P56">
        <f t="shared" ref="P56" si="98">P54/P55</f>
        <v>1</v>
      </c>
      <c r="Q56">
        <f t="shared" ref="Q56" si="99">Q54/Q55</f>
        <v>0</v>
      </c>
      <c r="R56">
        <f t="shared" ref="R56" si="100">R54/R55</f>
        <v>1</v>
      </c>
      <c r="S56">
        <f t="shared" ref="S56" si="101">S54/S55</f>
        <v>0</v>
      </c>
      <c r="T56">
        <f t="shared" ref="T56" si="102">T54/T55</f>
        <v>1</v>
      </c>
      <c r="U56">
        <f t="shared" ref="U56" si="103">U54/U55</f>
        <v>0.15555555555555556</v>
      </c>
      <c r="V56">
        <f t="shared" ref="V56" si="104">V54/V55</f>
        <v>0.84444444444444444</v>
      </c>
      <c r="W56">
        <f t="shared" ref="W56" si="105">W54/W55</f>
        <v>0.12</v>
      </c>
      <c r="X56">
        <f t="shared" ref="X56" si="106">X54/X55</f>
        <v>0.88</v>
      </c>
      <c r="Y56">
        <f t="shared" ref="Y56" si="107">Y54/Y55</f>
        <v>0.1</v>
      </c>
      <c r="Z56">
        <f t="shared" ref="Z56" si="108">Z54/Z55</f>
        <v>0.9</v>
      </c>
      <c r="AG56">
        <v>100</v>
      </c>
      <c r="AI56">
        <v>100</v>
      </c>
      <c r="AK56">
        <v>100</v>
      </c>
      <c r="AM56">
        <v>100</v>
      </c>
      <c r="AO56">
        <v>100</v>
      </c>
      <c r="AR56">
        <f>SUM(AE56:AO56)</f>
        <v>500</v>
      </c>
      <c r="AS56">
        <f>AR55/AR56</f>
        <v>0.98399999999999999</v>
      </c>
      <c r="AZ56">
        <f>AX55/(AW55+AX55)</f>
        <v>0.98399999999999999</v>
      </c>
      <c r="BB56">
        <v>0.98399999999999999</v>
      </c>
      <c r="BD56" s="34"/>
      <c r="BE56" s="11"/>
      <c r="BF56" s="11"/>
      <c r="BG56" s="12"/>
      <c r="BH56">
        <f>BF55/(BE55+BF55)</f>
        <v>0.98399999999999999</v>
      </c>
      <c r="BI56">
        <v>0.98399999999999999</v>
      </c>
    </row>
    <row r="57" spans="1:61">
      <c r="A57">
        <v>55</v>
      </c>
      <c r="B57">
        <v>0</v>
      </c>
      <c r="C57">
        <v>10</v>
      </c>
      <c r="D57">
        <v>0</v>
      </c>
      <c r="E57">
        <v>10</v>
      </c>
      <c r="F57">
        <v>0</v>
      </c>
      <c r="G57">
        <v>10</v>
      </c>
      <c r="H57">
        <v>0</v>
      </c>
      <c r="I57">
        <v>10</v>
      </c>
      <c r="J57">
        <v>0</v>
      </c>
      <c r="K57">
        <v>10</v>
      </c>
      <c r="L57">
        <v>0</v>
      </c>
      <c r="M57">
        <v>9</v>
      </c>
      <c r="AG57">
        <v>0.98</v>
      </c>
      <c r="AI57">
        <v>0.94</v>
      </c>
      <c r="AK57">
        <v>1</v>
      </c>
      <c r="AM57">
        <v>1</v>
      </c>
      <c r="AO57">
        <v>1</v>
      </c>
      <c r="AW57">
        <v>10</v>
      </c>
      <c r="AX57">
        <v>80</v>
      </c>
      <c r="AZ57">
        <f>(AW57+AX58)/SUM(AW57:AX58)</f>
        <v>0.86440677966101698</v>
      </c>
      <c r="BB57">
        <v>0.86440677966101698</v>
      </c>
      <c r="BE57" s="8">
        <f t="shared" ref="BE57:BE71" si="109">AW57/2</f>
        <v>5</v>
      </c>
      <c r="BF57" s="8">
        <f t="shared" ref="BF57:BF71" si="110">AX57/2</f>
        <v>40</v>
      </c>
      <c r="BH57">
        <f>(BE57+BF58)/SUM(BE57:BF58)</f>
        <v>0.92660550458715596</v>
      </c>
      <c r="BI57">
        <v>0.92660550458715596</v>
      </c>
    </row>
    <row r="58" spans="1:61">
      <c r="A58">
        <v>56</v>
      </c>
      <c r="B58">
        <v>0</v>
      </c>
      <c r="C58">
        <v>10</v>
      </c>
      <c r="D58">
        <v>0</v>
      </c>
      <c r="E58">
        <v>10</v>
      </c>
      <c r="F58">
        <v>0</v>
      </c>
      <c r="G58">
        <v>10</v>
      </c>
      <c r="H58">
        <v>0</v>
      </c>
      <c r="I58">
        <v>10</v>
      </c>
      <c r="J58">
        <v>0</v>
      </c>
      <c r="K58">
        <v>10</v>
      </c>
      <c r="L58">
        <v>0</v>
      </c>
      <c r="M58">
        <v>9</v>
      </c>
      <c r="AE58">
        <v>100</v>
      </c>
      <c r="AI58">
        <v>100</v>
      </c>
      <c r="AK58">
        <v>100</v>
      </c>
      <c r="AM58">
        <v>100</v>
      </c>
      <c r="AO58">
        <v>100</v>
      </c>
      <c r="AR58">
        <f>SUM(AE58:AO58)</f>
        <v>500</v>
      </c>
      <c r="AW58">
        <f>AQ31</f>
        <v>0</v>
      </c>
      <c r="AX58">
        <f>AR58</f>
        <v>500</v>
      </c>
      <c r="AZ58">
        <f>AW57/(AW57+AX57)</f>
        <v>0.1111111111111111</v>
      </c>
      <c r="BB58">
        <v>0.1111111111111111</v>
      </c>
      <c r="BE58" s="8">
        <f t="shared" ref="BE58:BE71" si="111">AW58</f>
        <v>0</v>
      </c>
      <c r="BF58" s="8">
        <f t="shared" ref="BF58:BF71" si="112">AX58</f>
        <v>500</v>
      </c>
      <c r="BH58">
        <f>BE57/(BE57+BF57)</f>
        <v>0.1111111111111111</v>
      </c>
      <c r="BI58">
        <v>0.1111111111111111</v>
      </c>
    </row>
    <row r="59" spans="1:61">
      <c r="A59">
        <v>57</v>
      </c>
      <c r="B59">
        <v>0</v>
      </c>
      <c r="C59">
        <v>10</v>
      </c>
      <c r="D59">
        <v>0</v>
      </c>
      <c r="E59">
        <v>10</v>
      </c>
      <c r="F59">
        <v>0</v>
      </c>
      <c r="G59">
        <v>10</v>
      </c>
      <c r="H59">
        <v>0</v>
      </c>
      <c r="I59">
        <v>10</v>
      </c>
      <c r="J59">
        <v>4</v>
      </c>
      <c r="K59">
        <v>6</v>
      </c>
      <c r="L59">
        <v>3</v>
      </c>
      <c r="M59">
        <v>6</v>
      </c>
      <c r="AE59">
        <v>100</v>
      </c>
      <c r="AI59">
        <v>100</v>
      </c>
      <c r="AK59">
        <v>100</v>
      </c>
      <c r="AM59">
        <v>100</v>
      </c>
      <c r="AO59">
        <v>100</v>
      </c>
      <c r="AR59">
        <f>SUM(AE59:AO59)</f>
        <v>500</v>
      </c>
      <c r="AS59">
        <f>AR58/AR59</f>
        <v>1</v>
      </c>
      <c r="AZ59">
        <f>AX58/(AW58+AX58)</f>
        <v>1</v>
      </c>
      <c r="BB59">
        <v>1</v>
      </c>
      <c r="BE59" s="11"/>
      <c r="BF59" s="11"/>
      <c r="BH59">
        <f>BF58/(BE58+BF58)</f>
        <v>1</v>
      </c>
      <c r="BI59">
        <v>1</v>
      </c>
    </row>
    <row r="60" spans="1:61">
      <c r="A60">
        <v>58</v>
      </c>
      <c r="B60">
        <v>0</v>
      </c>
      <c r="C60">
        <v>10</v>
      </c>
      <c r="D60">
        <v>0</v>
      </c>
      <c r="E60">
        <v>10</v>
      </c>
      <c r="F60">
        <v>0</v>
      </c>
      <c r="G60">
        <v>10</v>
      </c>
      <c r="H60">
        <v>0</v>
      </c>
      <c r="I60">
        <v>10</v>
      </c>
      <c r="J60">
        <v>0</v>
      </c>
      <c r="K60">
        <v>10</v>
      </c>
      <c r="L60">
        <v>0</v>
      </c>
      <c r="M60">
        <v>9</v>
      </c>
      <c r="O60">
        <v>0</v>
      </c>
      <c r="P60">
        <v>10</v>
      </c>
      <c r="Q60">
        <v>0</v>
      </c>
      <c r="R60">
        <v>10</v>
      </c>
      <c r="S60">
        <v>0</v>
      </c>
      <c r="T60">
        <v>10</v>
      </c>
      <c r="U60">
        <v>0</v>
      </c>
      <c r="V60">
        <v>10</v>
      </c>
      <c r="W60">
        <v>3</v>
      </c>
      <c r="X60">
        <v>6</v>
      </c>
      <c r="Y60">
        <v>2</v>
      </c>
      <c r="Z60">
        <v>8</v>
      </c>
      <c r="AE60">
        <v>1</v>
      </c>
      <c r="AI60">
        <v>1</v>
      </c>
      <c r="AK60">
        <v>1</v>
      </c>
      <c r="AM60">
        <v>1</v>
      </c>
      <c r="AO60">
        <v>1</v>
      </c>
      <c r="AW60">
        <v>14</v>
      </c>
      <c r="AX60">
        <v>76</v>
      </c>
      <c r="AZ60">
        <f t="shared" ref="AZ60:AZ71" si="113">(AW60+AX61)/SUM(AW60:AX61)</f>
        <v>0.85084745762711866</v>
      </c>
      <c r="BB60">
        <v>0.85084745762711866</v>
      </c>
      <c r="BE60" s="8">
        <f t="shared" ref="BE60:BE71" si="114">AW60/2</f>
        <v>7</v>
      </c>
      <c r="BF60" s="8">
        <f t="shared" ref="BF60:BF71" si="115">AX60/2</f>
        <v>38</v>
      </c>
      <c r="BH60">
        <f t="shared" ref="BH60:BI71" si="116">(BE60+BF61)/SUM(BE60:BF61)</f>
        <v>0.90825688073394495</v>
      </c>
      <c r="BI60">
        <v>0.90825688073394495</v>
      </c>
    </row>
    <row r="61" spans="1:61">
      <c r="A61">
        <v>59</v>
      </c>
      <c r="B61">
        <v>0</v>
      </c>
      <c r="C61">
        <v>10</v>
      </c>
      <c r="D61">
        <v>0</v>
      </c>
      <c r="E61">
        <v>10</v>
      </c>
      <c r="F61">
        <v>0</v>
      </c>
      <c r="G61">
        <v>10</v>
      </c>
      <c r="H61">
        <v>0</v>
      </c>
      <c r="I61">
        <v>10</v>
      </c>
      <c r="J61">
        <v>5</v>
      </c>
      <c r="K61">
        <v>5</v>
      </c>
      <c r="L61">
        <v>4</v>
      </c>
      <c r="M61">
        <v>5</v>
      </c>
      <c r="O61">
        <v>0</v>
      </c>
      <c r="P61">
        <v>10</v>
      </c>
      <c r="Q61">
        <v>0</v>
      </c>
      <c r="R61">
        <v>10</v>
      </c>
      <c r="S61">
        <v>0</v>
      </c>
      <c r="T61">
        <v>10</v>
      </c>
      <c r="U61">
        <v>0</v>
      </c>
      <c r="V61">
        <v>10</v>
      </c>
      <c r="W61">
        <v>2</v>
      </c>
      <c r="X61">
        <v>7</v>
      </c>
      <c r="Y61">
        <v>1</v>
      </c>
      <c r="Z61">
        <v>9</v>
      </c>
      <c r="AE61">
        <v>100</v>
      </c>
      <c r="AG61">
        <v>88</v>
      </c>
      <c r="AK61">
        <v>100</v>
      </c>
      <c r="AM61">
        <v>100</v>
      </c>
      <c r="AO61">
        <v>100</v>
      </c>
      <c r="AR61">
        <f>SUM(AE61:AO61)</f>
        <v>488</v>
      </c>
      <c r="AW61">
        <f>AQ34</f>
        <v>12</v>
      </c>
      <c r="AX61">
        <f>AR61</f>
        <v>488</v>
      </c>
      <c r="AZ61">
        <f t="shared" ref="AZ61:AZ71" si="117">AW60/(AW60+AX60)</f>
        <v>0.15555555555555556</v>
      </c>
      <c r="BB61">
        <v>0.15555555555555556</v>
      </c>
      <c r="BE61" s="8">
        <f t="shared" ref="BE61:BE71" si="118">AW61</f>
        <v>12</v>
      </c>
      <c r="BF61" s="8">
        <f t="shared" ref="BF61:BF71" si="119">AX61</f>
        <v>488</v>
      </c>
      <c r="BH61">
        <f t="shared" ref="BH61:BI71" si="120">BE60/(BE60+BF60)</f>
        <v>0.15555555555555556</v>
      </c>
      <c r="BI61">
        <v>0.15555555555555556</v>
      </c>
    </row>
    <row r="62" spans="1:61">
      <c r="O62">
        <v>0</v>
      </c>
      <c r="P62">
        <v>10</v>
      </c>
      <c r="Q62">
        <v>0</v>
      </c>
      <c r="R62">
        <v>10</v>
      </c>
      <c r="S62">
        <v>0</v>
      </c>
      <c r="T62">
        <v>10</v>
      </c>
      <c r="U62">
        <v>0</v>
      </c>
      <c r="V62">
        <v>10</v>
      </c>
      <c r="W62">
        <v>1</v>
      </c>
      <c r="X62">
        <v>8</v>
      </c>
      <c r="Y62">
        <v>0</v>
      </c>
      <c r="Z62">
        <v>10</v>
      </c>
      <c r="AE62">
        <v>100</v>
      </c>
      <c r="AG62">
        <v>100</v>
      </c>
      <c r="AK62">
        <v>100</v>
      </c>
      <c r="AM62">
        <v>100</v>
      </c>
      <c r="AO62">
        <v>100</v>
      </c>
      <c r="AR62">
        <f>SUM(AE62:AO62)</f>
        <v>500</v>
      </c>
      <c r="AS62">
        <f>AR61/AR62</f>
        <v>0.97599999999999998</v>
      </c>
      <c r="AZ62">
        <f t="shared" ref="AZ62:AZ71" si="121">AX61/(AW61+AX61)</f>
        <v>0.97599999999999998</v>
      </c>
      <c r="BB62">
        <v>0.97599999999999998</v>
      </c>
      <c r="BE62" s="11"/>
      <c r="BF62" s="11"/>
      <c r="BH62">
        <f t="shared" ref="BH62:BI71" si="122">BF61/(BE61+BF61)</f>
        <v>0.97599999999999998</v>
      </c>
      <c r="BI62">
        <v>0.97599999999999998</v>
      </c>
    </row>
    <row r="63" spans="1:61">
      <c r="O63">
        <v>0</v>
      </c>
      <c r="P63">
        <v>10</v>
      </c>
      <c r="Q63">
        <v>0</v>
      </c>
      <c r="R63">
        <v>10</v>
      </c>
      <c r="S63">
        <v>0</v>
      </c>
      <c r="T63">
        <v>10</v>
      </c>
      <c r="U63">
        <v>0</v>
      </c>
      <c r="V63">
        <v>10</v>
      </c>
      <c r="W63">
        <v>1</v>
      </c>
      <c r="X63">
        <v>8</v>
      </c>
      <c r="Y63">
        <v>0</v>
      </c>
      <c r="Z63">
        <v>10</v>
      </c>
      <c r="AE63">
        <v>1</v>
      </c>
      <c r="AG63">
        <v>0.88</v>
      </c>
      <c r="AK63">
        <v>1</v>
      </c>
      <c r="AM63">
        <v>1</v>
      </c>
      <c r="AO63">
        <v>1</v>
      </c>
      <c r="AW63">
        <v>14</v>
      </c>
      <c r="AX63">
        <v>76</v>
      </c>
      <c r="AZ63">
        <f t="shared" ref="AZ63:AZ71" si="123">(AW63+AX64)/SUM(AW63:AX64)</f>
        <v>0.83389830508474572</v>
      </c>
      <c r="BB63">
        <v>0.83389830508474572</v>
      </c>
      <c r="BE63" s="8">
        <f t="shared" ref="BE63:BE71" si="124">AW63/2</f>
        <v>7</v>
      </c>
      <c r="BF63" s="8">
        <f t="shared" ref="BF63:BF71" si="125">AX63/2</f>
        <v>38</v>
      </c>
      <c r="BH63">
        <f t="shared" ref="BH63:BI71" si="126">(BE63+BF64)/SUM(BE63:BF64)</f>
        <v>0.88990825688073394</v>
      </c>
      <c r="BI63">
        <v>0.88990825688073394</v>
      </c>
    </row>
    <row r="64" spans="1:61">
      <c r="O64">
        <v>0</v>
      </c>
      <c r="P64">
        <v>10</v>
      </c>
      <c r="Q64">
        <v>0</v>
      </c>
      <c r="R64">
        <v>10</v>
      </c>
      <c r="S64">
        <v>0</v>
      </c>
      <c r="T64">
        <v>10</v>
      </c>
      <c r="U64">
        <v>0</v>
      </c>
      <c r="V64">
        <v>10</v>
      </c>
      <c r="W64">
        <v>2</v>
      </c>
      <c r="X64">
        <v>7</v>
      </c>
      <c r="Y64">
        <v>0</v>
      </c>
      <c r="Z64">
        <v>10</v>
      </c>
      <c r="AE64">
        <v>100</v>
      </c>
      <c r="AG64">
        <v>100</v>
      </c>
      <c r="AI64">
        <v>100</v>
      </c>
      <c r="AM64">
        <v>88</v>
      </c>
      <c r="AO64">
        <v>90</v>
      </c>
      <c r="AR64">
        <f>SUM(AE64:AO64)</f>
        <v>478</v>
      </c>
      <c r="AW64">
        <f>AQ37</f>
        <v>22</v>
      </c>
      <c r="AX64">
        <f>AR64</f>
        <v>478</v>
      </c>
      <c r="AZ64">
        <f t="shared" ref="AZ64:AZ71" si="127">AW63/(AW63+AX63)</f>
        <v>0.15555555555555556</v>
      </c>
      <c r="BB64">
        <v>0.15555555555555556</v>
      </c>
      <c r="BE64" s="8">
        <f t="shared" ref="BE64:BE71" si="128">AW64</f>
        <v>22</v>
      </c>
      <c r="BF64" s="8">
        <f t="shared" ref="BF64:BF71" si="129">AX64</f>
        <v>478</v>
      </c>
      <c r="BH64">
        <f t="shared" ref="BH64:BI71" si="130">BE63/(BE63+BF63)</f>
        <v>0.15555555555555556</v>
      </c>
      <c r="BI64">
        <v>0.15555555555555556</v>
      </c>
    </row>
    <row r="65" spans="15:61">
      <c r="O65">
        <v>0</v>
      </c>
      <c r="P65">
        <v>10</v>
      </c>
      <c r="Q65">
        <v>0</v>
      </c>
      <c r="R65">
        <v>10</v>
      </c>
      <c r="S65">
        <v>0</v>
      </c>
      <c r="T65">
        <v>10</v>
      </c>
      <c r="U65">
        <v>0</v>
      </c>
      <c r="V65">
        <v>10</v>
      </c>
      <c r="W65">
        <v>0</v>
      </c>
      <c r="X65">
        <v>9</v>
      </c>
      <c r="Y65">
        <v>0</v>
      </c>
      <c r="Z65">
        <v>10</v>
      </c>
      <c r="AE65">
        <v>100</v>
      </c>
      <c r="AG65">
        <v>100</v>
      </c>
      <c r="AI65">
        <v>100</v>
      </c>
      <c r="AM65">
        <v>100</v>
      </c>
      <c r="AO65">
        <v>100</v>
      </c>
      <c r="AR65">
        <f>SUM(AE65:AO65)</f>
        <v>500</v>
      </c>
      <c r="AS65">
        <f>AR64/AR65</f>
        <v>0.95599999999999996</v>
      </c>
      <c r="AZ65">
        <f t="shared" ref="AZ65:AZ71" si="131">AX64/(AW64+AX64)</f>
        <v>0.95599999999999996</v>
      </c>
      <c r="BB65">
        <v>0.95599999999999996</v>
      </c>
      <c r="BE65" s="11"/>
      <c r="BF65" s="11"/>
      <c r="BH65">
        <f t="shared" ref="BH65:BI71" si="132">BF64/(BE64+BF64)</f>
        <v>0.95599999999999996</v>
      </c>
      <c r="BI65">
        <v>0.95599999999999996</v>
      </c>
    </row>
    <row r="66" spans="15:61">
      <c r="O66">
        <v>0</v>
      </c>
      <c r="P66">
        <v>10</v>
      </c>
      <c r="Q66">
        <v>0</v>
      </c>
      <c r="R66">
        <v>10</v>
      </c>
      <c r="S66">
        <v>0</v>
      </c>
      <c r="T66">
        <v>10</v>
      </c>
      <c r="U66">
        <v>0</v>
      </c>
      <c r="V66">
        <v>10</v>
      </c>
      <c r="W66">
        <v>4</v>
      </c>
      <c r="X66">
        <v>5</v>
      </c>
      <c r="Y66">
        <v>1</v>
      </c>
      <c r="Z66">
        <v>9</v>
      </c>
      <c r="AE66">
        <v>1</v>
      </c>
      <c r="AG66">
        <v>1</v>
      </c>
      <c r="AI66">
        <v>1</v>
      </c>
      <c r="AM66">
        <v>0.88</v>
      </c>
      <c r="AO66">
        <v>0.9</v>
      </c>
      <c r="AW66">
        <v>14</v>
      </c>
      <c r="AX66">
        <v>76</v>
      </c>
      <c r="AZ66">
        <f t="shared" ref="AZ66:AZ71" si="133">(AW66+AX67)/SUM(AW66:AX67)</f>
        <v>0.86440677966101698</v>
      </c>
      <c r="BB66">
        <v>0.86440677966101698</v>
      </c>
      <c r="BE66" s="8">
        <f t="shared" ref="BE66:BE71" si="134">AW66/2</f>
        <v>7</v>
      </c>
      <c r="BF66" s="8">
        <f t="shared" ref="BF66:BF71" si="135">AX66/2</f>
        <v>38</v>
      </c>
      <c r="BH66">
        <f t="shared" ref="BH66:BI71" si="136">(BE66+BF67)/SUM(BE66:BF67)</f>
        <v>0.92293577981651376</v>
      </c>
      <c r="BI66">
        <v>0.92293577981651376</v>
      </c>
    </row>
    <row r="67" spans="15:61">
      <c r="O67">
        <v>0</v>
      </c>
      <c r="P67">
        <v>10</v>
      </c>
      <c r="Q67">
        <v>0</v>
      </c>
      <c r="R67">
        <v>10</v>
      </c>
      <c r="S67">
        <v>0</v>
      </c>
      <c r="T67">
        <v>10</v>
      </c>
      <c r="U67">
        <v>0</v>
      </c>
      <c r="V67">
        <v>10</v>
      </c>
      <c r="W67">
        <v>1</v>
      </c>
      <c r="X67">
        <v>8</v>
      </c>
      <c r="Y67">
        <v>0</v>
      </c>
      <c r="Z67">
        <v>10</v>
      </c>
      <c r="AE67">
        <v>100</v>
      </c>
      <c r="AG67">
        <v>100</v>
      </c>
      <c r="AI67">
        <v>100</v>
      </c>
      <c r="AK67">
        <v>100</v>
      </c>
      <c r="AO67">
        <v>96</v>
      </c>
      <c r="AR67">
        <f>SUM(AE67:AO67)</f>
        <v>496</v>
      </c>
      <c r="AW67">
        <f>AQ40</f>
        <v>4</v>
      </c>
      <c r="AX67">
        <f>AR67</f>
        <v>496</v>
      </c>
      <c r="AZ67">
        <f t="shared" ref="AZ67:AZ71" si="137">AW66/(AW66+AX66)</f>
        <v>0.15555555555555556</v>
      </c>
      <c r="BB67">
        <v>0.15555555555555556</v>
      </c>
      <c r="BE67" s="8">
        <f t="shared" ref="BE67:BE71" si="138">AW67</f>
        <v>4</v>
      </c>
      <c r="BF67" s="8">
        <f t="shared" ref="BF67:BF71" si="139">AX67</f>
        <v>496</v>
      </c>
      <c r="BH67">
        <f t="shared" ref="BH67:BI71" si="140">BE66/(BE66+BF66)</f>
        <v>0.15555555555555556</v>
      </c>
      <c r="BI67">
        <v>0.15555555555555556</v>
      </c>
    </row>
    <row r="68" spans="15:61">
      <c r="O68">
        <v>0</v>
      </c>
      <c r="P68">
        <v>10</v>
      </c>
      <c r="Q68">
        <v>0</v>
      </c>
      <c r="R68">
        <v>10</v>
      </c>
      <c r="S68">
        <v>0</v>
      </c>
      <c r="T68">
        <v>10</v>
      </c>
      <c r="U68">
        <v>0</v>
      </c>
      <c r="V68">
        <v>10</v>
      </c>
      <c r="W68">
        <v>0</v>
      </c>
      <c r="X68">
        <v>9</v>
      </c>
      <c r="Y68">
        <v>0</v>
      </c>
      <c r="Z68">
        <v>10</v>
      </c>
      <c r="AE68">
        <v>100</v>
      </c>
      <c r="AG68">
        <v>100</v>
      </c>
      <c r="AI68">
        <v>100</v>
      </c>
      <c r="AK68">
        <v>100</v>
      </c>
      <c r="AO68">
        <v>100</v>
      </c>
      <c r="AR68">
        <f>SUM(AE68:AO68)</f>
        <v>500</v>
      </c>
      <c r="AS68">
        <f>AR67/AR68</f>
        <v>0.99199999999999999</v>
      </c>
      <c r="AZ68">
        <f t="shared" ref="AZ68:AZ71" si="141">AX67/(AW67+AX67)</f>
        <v>0.99199999999999999</v>
      </c>
      <c r="BB68">
        <v>0.99199999999999999</v>
      </c>
      <c r="BE68" s="11"/>
      <c r="BF68" s="11"/>
      <c r="BH68">
        <f t="shared" ref="BH68:BI71" si="142">BF67/(BE67+BF67)</f>
        <v>0.99199999999999999</v>
      </c>
      <c r="BI68">
        <v>0.99199999999999999</v>
      </c>
    </row>
    <row r="69" spans="15:61">
      <c r="O69">
        <v>0</v>
      </c>
      <c r="P69">
        <v>10</v>
      </c>
      <c r="Q69">
        <v>0</v>
      </c>
      <c r="R69">
        <v>10</v>
      </c>
      <c r="S69">
        <v>0</v>
      </c>
      <c r="T69">
        <v>10</v>
      </c>
      <c r="U69">
        <v>0</v>
      </c>
      <c r="V69">
        <v>10</v>
      </c>
      <c r="W69">
        <v>0</v>
      </c>
      <c r="X69">
        <v>9</v>
      </c>
      <c r="Y69">
        <v>0</v>
      </c>
      <c r="Z69">
        <v>10</v>
      </c>
      <c r="AE69">
        <v>1</v>
      </c>
      <c r="AG69">
        <v>1</v>
      </c>
      <c r="AI69">
        <v>1</v>
      </c>
      <c r="AK69">
        <v>1</v>
      </c>
      <c r="AO69">
        <v>0.96</v>
      </c>
      <c r="AW69">
        <v>18</v>
      </c>
      <c r="AX69">
        <v>72</v>
      </c>
      <c r="AZ69">
        <f>(AW69+AX70)/SUM(AW69:AX70)</f>
        <v>0.82203389830508478</v>
      </c>
      <c r="BB69">
        <v>0.82203389830508478</v>
      </c>
      <c r="BE69" s="8">
        <f t="shared" ref="BE69:BE71" si="143">AW69/2</f>
        <v>9</v>
      </c>
      <c r="BF69" s="8">
        <f t="shared" ref="BF69:BF71" si="144">AX69/2</f>
        <v>36</v>
      </c>
      <c r="BH69">
        <f>(BE69+BF70)/SUM(BE69:BF70)</f>
        <v>0.87339449541284409</v>
      </c>
      <c r="BI69">
        <v>0.87339449541284409</v>
      </c>
    </row>
    <row r="70" spans="15:61">
      <c r="O70">
        <f>SUM(O60:O69)</f>
        <v>0</v>
      </c>
      <c r="P70">
        <f t="shared" ref="P70" si="145">SUM(P60:P69)</f>
        <v>100</v>
      </c>
      <c r="Q70">
        <f t="shared" ref="Q70" si="146">SUM(Q60:Q69)</f>
        <v>0</v>
      </c>
      <c r="R70">
        <f t="shared" ref="R70" si="147">SUM(R60:R69)</f>
        <v>100</v>
      </c>
      <c r="S70">
        <f t="shared" ref="S70" si="148">SUM(S60:S69)</f>
        <v>0</v>
      </c>
      <c r="T70">
        <f t="shared" ref="T70" si="149">SUM(T60:T69)</f>
        <v>100</v>
      </c>
      <c r="U70">
        <f t="shared" ref="U70" si="150">SUM(U60:U69)</f>
        <v>0</v>
      </c>
      <c r="V70">
        <f t="shared" ref="V70" si="151">SUM(V60:V69)</f>
        <v>100</v>
      </c>
      <c r="W70">
        <f t="shared" ref="W70" si="152">SUM(W60:W69)</f>
        <v>14</v>
      </c>
      <c r="X70">
        <f t="shared" ref="X70" si="153">SUM(X60:X69)</f>
        <v>76</v>
      </c>
      <c r="Y70">
        <f t="shared" ref="Y70" si="154">SUM(Y60:Y69)</f>
        <v>4</v>
      </c>
      <c r="Z70">
        <f t="shared" ref="Z70" si="155">SUM(Z60:Z69)</f>
        <v>96</v>
      </c>
      <c r="AE70">
        <v>100</v>
      </c>
      <c r="AG70">
        <v>100</v>
      </c>
      <c r="AI70">
        <v>100</v>
      </c>
      <c r="AK70">
        <v>99</v>
      </c>
      <c r="AM70">
        <v>68</v>
      </c>
      <c r="AR70">
        <f>SUM(AE70:AO70)</f>
        <v>467</v>
      </c>
      <c r="AW70">
        <f>AQ43</f>
        <v>33</v>
      </c>
      <c r="AX70">
        <f>AR70</f>
        <v>467</v>
      </c>
      <c r="AZ70">
        <f>AW69/(AW69+AX69)</f>
        <v>0.2</v>
      </c>
      <c r="BB70">
        <v>0.2</v>
      </c>
      <c r="BE70" s="8">
        <f t="shared" ref="BE70:BE71" si="156">AW70</f>
        <v>33</v>
      </c>
      <c r="BF70" s="8">
        <f t="shared" ref="BF70:BF71" si="157">AX70</f>
        <v>467</v>
      </c>
      <c r="BH70">
        <f>BE69/(BE69+BF69)</f>
        <v>0.2</v>
      </c>
      <c r="BI70">
        <v>0.2</v>
      </c>
    </row>
    <row r="71" spans="15:61">
      <c r="O71">
        <f>SUM(O70:P70)</f>
        <v>100</v>
      </c>
      <c r="P71">
        <f>SUM(O70:P70)</f>
        <v>100</v>
      </c>
      <c r="Q71">
        <f t="shared" ref="Q71" si="158">SUM(Q70:R70)</f>
        <v>100</v>
      </c>
      <c r="R71">
        <f t="shared" ref="R71" si="159">SUM(Q70:R70)</f>
        <v>100</v>
      </c>
      <c r="S71">
        <f t="shared" ref="S71" si="160">SUM(S70:T70)</f>
        <v>100</v>
      </c>
      <c r="T71">
        <f t="shared" ref="T71" si="161">SUM(S70:T70)</f>
        <v>100</v>
      </c>
      <c r="U71">
        <f t="shared" ref="U71" si="162">SUM(U70:V70)</f>
        <v>100</v>
      </c>
      <c r="V71">
        <f t="shared" ref="V71" si="163">SUM(U70:V70)</f>
        <v>100</v>
      </c>
      <c r="W71">
        <f t="shared" ref="W71" si="164">SUM(W70:X70)</f>
        <v>90</v>
      </c>
      <c r="X71">
        <f t="shared" ref="X71" si="165">SUM(W70:X70)</f>
        <v>90</v>
      </c>
      <c r="Y71">
        <f t="shared" ref="Y71" si="166">SUM(Y70:Z70)</f>
        <v>100</v>
      </c>
      <c r="Z71">
        <f t="shared" ref="Z71" si="167">SUM(Y70:Z70)</f>
        <v>100</v>
      </c>
      <c r="AE71">
        <v>100</v>
      </c>
      <c r="AG71">
        <v>100</v>
      </c>
      <c r="AI71">
        <v>100</v>
      </c>
      <c r="AK71">
        <v>100</v>
      </c>
      <c r="AM71">
        <v>100</v>
      </c>
      <c r="AR71">
        <f>SUM(AE71:AO71)</f>
        <v>500</v>
      </c>
      <c r="AS71">
        <f>AR70/AR71</f>
        <v>0.93400000000000005</v>
      </c>
      <c r="AZ71">
        <f>AX70/(AW70+AX70)</f>
        <v>0.93400000000000005</v>
      </c>
      <c r="BB71">
        <v>0.93400000000000005</v>
      </c>
      <c r="BE71" s="11"/>
      <c r="BF71" s="11"/>
      <c r="BH71">
        <f>BF70/(BE70+BF70)</f>
        <v>0.93400000000000005</v>
      </c>
      <c r="BI71">
        <v>0.93400000000000005</v>
      </c>
    </row>
    <row r="72" spans="15:61">
      <c r="O72">
        <f>O70/O71</f>
        <v>0</v>
      </c>
      <c r="P72">
        <f t="shared" ref="P72" si="168">P70/P71</f>
        <v>1</v>
      </c>
      <c r="Q72">
        <f t="shared" ref="Q72" si="169">Q70/Q71</f>
        <v>0</v>
      </c>
      <c r="R72">
        <f t="shared" ref="R72" si="170">R70/R71</f>
        <v>1</v>
      </c>
      <c r="S72">
        <f t="shared" ref="S72" si="171">S70/S71</f>
        <v>0</v>
      </c>
      <c r="T72">
        <f t="shared" ref="T72" si="172">T70/T71</f>
        <v>1</v>
      </c>
      <c r="U72">
        <f t="shared" ref="U72" si="173">U70/U71</f>
        <v>0</v>
      </c>
      <c r="V72">
        <f t="shared" ref="V72" si="174">V70/V71</f>
        <v>1</v>
      </c>
      <c r="W72">
        <f t="shared" ref="W72" si="175">W70/W71</f>
        <v>0.15555555555555556</v>
      </c>
      <c r="X72">
        <f t="shared" ref="X72" si="176">X70/X71</f>
        <v>0.84444444444444444</v>
      </c>
      <c r="Y72">
        <f t="shared" ref="Y72" si="177">Y70/Y71</f>
        <v>0.04</v>
      </c>
      <c r="Z72">
        <f t="shared" ref="Z72" si="178">Z70/Z71</f>
        <v>0.96</v>
      </c>
      <c r="AE72">
        <v>1</v>
      </c>
      <c r="AG72">
        <v>1</v>
      </c>
      <c r="AI72">
        <v>1</v>
      </c>
      <c r="AK72">
        <v>0.99</v>
      </c>
      <c r="AM72">
        <v>0.68</v>
      </c>
    </row>
    <row r="75" spans="15:61">
      <c r="O75">
        <v>0</v>
      </c>
      <c r="P75">
        <v>10</v>
      </c>
      <c r="Q75">
        <v>0</v>
      </c>
      <c r="R75">
        <v>10</v>
      </c>
      <c r="S75">
        <v>0</v>
      </c>
      <c r="T75">
        <v>10</v>
      </c>
      <c r="U75">
        <v>0</v>
      </c>
      <c r="V75">
        <v>10</v>
      </c>
      <c r="W75">
        <v>9</v>
      </c>
      <c r="X75">
        <v>1</v>
      </c>
      <c r="Y75">
        <v>4</v>
      </c>
      <c r="Z75">
        <v>5</v>
      </c>
    </row>
    <row r="76" spans="15:61">
      <c r="O76">
        <v>0</v>
      </c>
      <c r="P76">
        <v>10</v>
      </c>
      <c r="Q76">
        <v>0</v>
      </c>
      <c r="R76">
        <v>10</v>
      </c>
      <c r="S76">
        <v>0</v>
      </c>
      <c r="T76">
        <v>10</v>
      </c>
      <c r="U76">
        <v>0</v>
      </c>
      <c r="V76">
        <v>10</v>
      </c>
      <c r="W76">
        <v>6</v>
      </c>
      <c r="X76">
        <v>4</v>
      </c>
      <c r="Y76">
        <v>3</v>
      </c>
      <c r="Z76">
        <v>6</v>
      </c>
    </row>
    <row r="77" spans="15:61">
      <c r="O77">
        <v>0</v>
      </c>
      <c r="P77">
        <v>10</v>
      </c>
      <c r="Q77">
        <v>0</v>
      </c>
      <c r="R77">
        <v>10</v>
      </c>
      <c r="S77">
        <v>0</v>
      </c>
      <c r="T77">
        <v>10</v>
      </c>
      <c r="U77">
        <v>0</v>
      </c>
      <c r="V77">
        <v>10</v>
      </c>
      <c r="W77">
        <v>7</v>
      </c>
      <c r="X77">
        <v>3</v>
      </c>
      <c r="Y77">
        <v>4</v>
      </c>
      <c r="Z77">
        <v>5</v>
      </c>
    </row>
    <row r="78" spans="15:61">
      <c r="O78">
        <v>0</v>
      </c>
      <c r="P78">
        <v>10</v>
      </c>
      <c r="Q78">
        <v>0</v>
      </c>
      <c r="R78">
        <v>10</v>
      </c>
      <c r="S78">
        <v>0</v>
      </c>
      <c r="T78">
        <v>10</v>
      </c>
      <c r="U78">
        <v>1</v>
      </c>
      <c r="V78">
        <v>9</v>
      </c>
      <c r="W78">
        <v>1</v>
      </c>
      <c r="X78">
        <v>9</v>
      </c>
      <c r="Y78">
        <v>0</v>
      </c>
      <c r="Z78">
        <v>9</v>
      </c>
    </row>
    <row r="79" spans="15:61">
      <c r="O79">
        <v>0</v>
      </c>
      <c r="P79">
        <v>10</v>
      </c>
      <c r="Q79">
        <v>0</v>
      </c>
      <c r="R79">
        <v>10</v>
      </c>
      <c r="S79">
        <v>0</v>
      </c>
      <c r="T79">
        <v>10</v>
      </c>
      <c r="U79">
        <v>0</v>
      </c>
      <c r="V79">
        <v>10</v>
      </c>
      <c r="W79">
        <v>0</v>
      </c>
      <c r="X79">
        <v>10</v>
      </c>
      <c r="Y79">
        <v>0</v>
      </c>
      <c r="Z79">
        <v>9</v>
      </c>
    </row>
    <row r="80" spans="15:61">
      <c r="O80">
        <v>0</v>
      </c>
      <c r="P80">
        <v>10</v>
      </c>
      <c r="Q80">
        <v>0</v>
      </c>
      <c r="R80">
        <v>10</v>
      </c>
      <c r="S80">
        <v>0</v>
      </c>
      <c r="T80">
        <v>10</v>
      </c>
      <c r="U80">
        <v>0</v>
      </c>
      <c r="V80">
        <v>10</v>
      </c>
      <c r="W80">
        <v>0</v>
      </c>
      <c r="X80">
        <v>10</v>
      </c>
      <c r="Y80">
        <v>0</v>
      </c>
      <c r="Z80">
        <v>9</v>
      </c>
    </row>
    <row r="81" spans="15:26">
      <c r="O81">
        <v>0</v>
      </c>
      <c r="P81">
        <v>10</v>
      </c>
      <c r="Q81">
        <v>0</v>
      </c>
      <c r="R81">
        <v>10</v>
      </c>
      <c r="S81">
        <v>0</v>
      </c>
      <c r="T81">
        <v>10</v>
      </c>
      <c r="U81">
        <v>0</v>
      </c>
      <c r="V81">
        <v>10</v>
      </c>
      <c r="W81">
        <v>0</v>
      </c>
      <c r="X81">
        <v>10</v>
      </c>
      <c r="Y81">
        <v>0</v>
      </c>
      <c r="Z81">
        <v>9</v>
      </c>
    </row>
    <row r="82" spans="15:26">
      <c r="O82">
        <v>0</v>
      </c>
      <c r="P82">
        <v>10</v>
      </c>
      <c r="Q82">
        <v>0</v>
      </c>
      <c r="R82">
        <v>10</v>
      </c>
      <c r="S82">
        <v>0</v>
      </c>
      <c r="T82">
        <v>10</v>
      </c>
      <c r="U82">
        <v>0</v>
      </c>
      <c r="V82">
        <v>10</v>
      </c>
      <c r="W82">
        <v>4</v>
      </c>
      <c r="X82">
        <v>6</v>
      </c>
      <c r="Y82">
        <v>3</v>
      </c>
      <c r="Z82">
        <v>6</v>
      </c>
    </row>
    <row r="83" spans="15:26">
      <c r="O83">
        <v>0</v>
      </c>
      <c r="P83">
        <v>10</v>
      </c>
      <c r="Q83">
        <v>0</v>
      </c>
      <c r="R83">
        <v>10</v>
      </c>
      <c r="S83">
        <v>0</v>
      </c>
      <c r="T83">
        <v>10</v>
      </c>
      <c r="U83">
        <v>0</v>
      </c>
      <c r="V83">
        <v>10</v>
      </c>
      <c r="W83">
        <v>0</v>
      </c>
      <c r="X83">
        <v>10</v>
      </c>
      <c r="Y83">
        <v>0</v>
      </c>
      <c r="Z83">
        <v>9</v>
      </c>
    </row>
    <row r="84" spans="15:26">
      <c r="O84">
        <v>0</v>
      </c>
      <c r="P84">
        <v>10</v>
      </c>
      <c r="Q84">
        <v>0</v>
      </c>
      <c r="R84">
        <v>10</v>
      </c>
      <c r="S84">
        <v>0</v>
      </c>
      <c r="T84">
        <v>10</v>
      </c>
      <c r="U84">
        <v>0</v>
      </c>
      <c r="V84">
        <v>10</v>
      </c>
      <c r="W84">
        <v>5</v>
      </c>
      <c r="X84">
        <v>5</v>
      </c>
      <c r="Y84">
        <v>4</v>
      </c>
      <c r="Z84">
        <v>5</v>
      </c>
    </row>
    <row r="85" spans="15:26">
      <c r="O85">
        <f>SUM(O75:O84)</f>
        <v>0</v>
      </c>
      <c r="P85">
        <f t="shared" ref="P85" si="179">SUM(P75:P84)</f>
        <v>100</v>
      </c>
      <c r="Q85">
        <f t="shared" ref="Q85" si="180">SUM(Q75:Q84)</f>
        <v>0</v>
      </c>
      <c r="R85">
        <f t="shared" ref="R85" si="181">SUM(R75:R84)</f>
        <v>100</v>
      </c>
      <c r="S85">
        <f t="shared" ref="S85" si="182">SUM(S75:S84)</f>
        <v>0</v>
      </c>
      <c r="T85">
        <f t="shared" ref="T85" si="183">SUM(T75:T84)</f>
        <v>100</v>
      </c>
      <c r="U85">
        <f t="shared" ref="U85" si="184">SUM(U75:U84)</f>
        <v>1</v>
      </c>
      <c r="V85">
        <f t="shared" ref="V85" si="185">SUM(V75:V84)</f>
        <v>99</v>
      </c>
      <c r="W85">
        <f t="shared" ref="W85" si="186">SUM(W75:W84)</f>
        <v>32</v>
      </c>
      <c r="X85">
        <f t="shared" ref="X85" si="187">SUM(X75:X84)</f>
        <v>68</v>
      </c>
      <c r="Y85">
        <f t="shared" ref="Y85" si="188">SUM(Y75:Y84)</f>
        <v>18</v>
      </c>
      <c r="Z85">
        <f t="shared" ref="Z85" si="189">SUM(Z75:Z84)</f>
        <v>72</v>
      </c>
    </row>
    <row r="86" spans="15:26">
      <c r="O86">
        <f>SUM(O85:P85)</f>
        <v>100</v>
      </c>
      <c r="P86">
        <f>SUM(O85:P85)</f>
        <v>100</v>
      </c>
      <c r="Q86">
        <f t="shared" ref="Q86" si="190">SUM(Q85:R85)</f>
        <v>100</v>
      </c>
      <c r="R86">
        <f t="shared" ref="R86" si="191">SUM(Q85:R85)</f>
        <v>100</v>
      </c>
      <c r="S86">
        <f t="shared" ref="S86" si="192">SUM(S85:T85)</f>
        <v>100</v>
      </c>
      <c r="T86">
        <f t="shared" ref="T86" si="193">SUM(S85:T85)</f>
        <v>100</v>
      </c>
      <c r="U86">
        <f t="shared" ref="U86" si="194">SUM(U85:V85)</f>
        <v>100</v>
      </c>
      <c r="V86">
        <f t="shared" ref="V86" si="195">SUM(U85:V85)</f>
        <v>100</v>
      </c>
      <c r="W86">
        <f t="shared" ref="W86" si="196">SUM(W85:X85)</f>
        <v>100</v>
      </c>
      <c r="X86">
        <f t="shared" ref="X86" si="197">SUM(W85:X85)</f>
        <v>100</v>
      </c>
      <c r="Y86">
        <f t="shared" ref="Y86" si="198">SUM(Y85:Z85)</f>
        <v>90</v>
      </c>
      <c r="Z86">
        <f t="shared" ref="Z86" si="199">SUM(Y85:Z85)</f>
        <v>90</v>
      </c>
    </row>
    <row r="87" spans="15:26">
      <c r="O87">
        <f>O85/O86</f>
        <v>0</v>
      </c>
      <c r="P87">
        <f t="shared" ref="P87" si="200">P85/P86</f>
        <v>1</v>
      </c>
      <c r="Q87">
        <f t="shared" ref="Q87" si="201">Q85/Q86</f>
        <v>0</v>
      </c>
      <c r="R87">
        <f t="shared" ref="R87" si="202">R85/R86</f>
        <v>1</v>
      </c>
      <c r="S87">
        <f t="shared" ref="S87" si="203">S85/S86</f>
        <v>0</v>
      </c>
      <c r="T87">
        <f t="shared" ref="T87" si="204">T85/T86</f>
        <v>1</v>
      </c>
      <c r="U87">
        <f t="shared" ref="U87" si="205">U85/U86</f>
        <v>0.01</v>
      </c>
      <c r="V87">
        <f t="shared" ref="V87" si="206">V85/V86</f>
        <v>0.99</v>
      </c>
      <c r="W87">
        <f t="shared" ref="W87" si="207">W85/W86</f>
        <v>0.32</v>
      </c>
      <c r="X87">
        <f t="shared" ref="X87" si="208">X85/X86</f>
        <v>0.68</v>
      </c>
      <c r="Y87">
        <f t="shared" ref="Y87" si="209">Y85/Y86</f>
        <v>0.2</v>
      </c>
      <c r="Z87">
        <f t="shared" ref="Z87" si="210">Z85/Z86</f>
        <v>0.8</v>
      </c>
    </row>
  </sheetData>
  <mergeCells count="36">
    <mergeCell ref="AZ38:BA38"/>
    <mergeCell ref="AV39:AW39"/>
    <mergeCell ref="AX39:AY39"/>
    <mergeCell ref="AZ39:BA39"/>
    <mergeCell ref="AT41:AT42"/>
    <mergeCell ref="AT40:AU40"/>
    <mergeCell ref="AT33:AU33"/>
    <mergeCell ref="AT34:AT35"/>
    <mergeCell ref="AV30:BA30"/>
    <mergeCell ref="AT39:AU39"/>
    <mergeCell ref="AV37:BA37"/>
    <mergeCell ref="AV38:AW38"/>
    <mergeCell ref="AX38:AY38"/>
    <mergeCell ref="AT32:AU32"/>
    <mergeCell ref="AV32:AW32"/>
    <mergeCell ref="AX32:AY32"/>
    <mergeCell ref="AZ32:BA32"/>
    <mergeCell ref="AV31:AW31"/>
    <mergeCell ref="AX31:AY31"/>
    <mergeCell ref="AZ31:BA31"/>
    <mergeCell ref="BF24:BG24"/>
    <mergeCell ref="AV23:BG23"/>
    <mergeCell ref="AT25:AU25"/>
    <mergeCell ref="AT26:AU26"/>
    <mergeCell ref="AT27:AT28"/>
    <mergeCell ref="AV24:AW24"/>
    <mergeCell ref="AX24:AY24"/>
    <mergeCell ref="AZ24:BA24"/>
    <mergeCell ref="BB24:BC24"/>
    <mergeCell ref="BD24:BE24"/>
    <mergeCell ref="AV25:AW25"/>
    <mergeCell ref="AX25:AY25"/>
    <mergeCell ref="AZ25:BA25"/>
    <mergeCell ref="BB25:BC25"/>
    <mergeCell ref="BD25:BE25"/>
    <mergeCell ref="BF25:BG25"/>
  </mergeCells>
  <phoneticPr fontId="1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all1-2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　裕貴</dc:creator>
  <cp:lastModifiedBy>小倉　裕貴</cp:lastModifiedBy>
  <dcterms:created xsi:type="dcterms:W3CDTF">2021-01-13T03:46:00Z</dcterms:created>
  <dcterms:modified xsi:type="dcterms:W3CDTF">2021-01-14T02:10:20Z</dcterms:modified>
</cp:coreProperties>
</file>